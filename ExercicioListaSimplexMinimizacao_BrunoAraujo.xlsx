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Pessoas\Bruno.Araujo\CDN_OCAN\"/>
    </mc:Choice>
  </mc:AlternateContent>
  <xr:revisionPtr revIDLastSave="0" documentId="13_ncr:1_{62A5F2DD-DB20-4FE5-B855-E289D8A9432D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Exemplo" sheetId="1" r:id="rId1"/>
    <sheet name="1A" sheetId="2" r:id="rId2"/>
    <sheet name="1B" sheetId="3" r:id="rId3"/>
    <sheet name="1C" sheetId="4" r:id="rId4"/>
    <sheet name="1D" sheetId="5" r:id="rId5"/>
    <sheet name="1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2" l="1"/>
  <c r="B9" i="2"/>
  <c r="B8" i="2"/>
  <c r="J19" i="4"/>
  <c r="K19" i="4"/>
  <c r="L19" i="4"/>
  <c r="M19" i="4"/>
  <c r="N19" i="4"/>
  <c r="I19" i="4"/>
  <c r="J18" i="4"/>
  <c r="K18" i="4"/>
  <c r="L18" i="4"/>
  <c r="M18" i="4"/>
  <c r="N18" i="4"/>
  <c r="I18" i="4"/>
  <c r="J17" i="4"/>
  <c r="K17" i="4"/>
  <c r="L17" i="4"/>
  <c r="M17" i="4"/>
  <c r="N17" i="4"/>
  <c r="I17" i="4"/>
  <c r="J16" i="4"/>
  <c r="K16" i="4"/>
  <c r="L16" i="4"/>
  <c r="M16" i="4"/>
  <c r="N16" i="4"/>
  <c r="I16" i="4"/>
  <c r="I10" i="4"/>
  <c r="K10" i="4"/>
  <c r="L10" i="4"/>
  <c r="M10" i="4"/>
  <c r="N10" i="4"/>
  <c r="I11" i="4"/>
  <c r="K11" i="4"/>
  <c r="L11" i="4"/>
  <c r="M11" i="4"/>
  <c r="N11" i="4"/>
  <c r="J11" i="4"/>
  <c r="J11" i="5"/>
  <c r="K11" i="5"/>
  <c r="L11" i="5"/>
  <c r="M11" i="5"/>
  <c r="J19" i="6"/>
  <c r="K19" i="6"/>
  <c r="L19" i="6"/>
  <c r="M19" i="6"/>
  <c r="N19" i="6"/>
  <c r="J18" i="6"/>
  <c r="K18" i="6"/>
  <c r="L18" i="6"/>
  <c r="M18" i="6"/>
  <c r="N18" i="6"/>
  <c r="J16" i="6"/>
  <c r="K16" i="6"/>
  <c r="L16" i="6"/>
  <c r="M16" i="6"/>
  <c r="N16" i="6"/>
  <c r="I16" i="6"/>
  <c r="J17" i="6"/>
  <c r="K17" i="6"/>
  <c r="L17" i="6"/>
  <c r="M17" i="6"/>
  <c r="N17" i="6"/>
  <c r="I17" i="6"/>
  <c r="K13" i="6"/>
  <c r="L13" i="6"/>
  <c r="M13" i="6"/>
  <c r="N13" i="6"/>
  <c r="K11" i="6"/>
  <c r="L11" i="6"/>
  <c r="M11" i="6"/>
  <c r="N11" i="6"/>
  <c r="K10" i="6"/>
  <c r="L10" i="6"/>
  <c r="M10" i="6"/>
  <c r="N10" i="6"/>
  <c r="J11" i="6"/>
  <c r="I11" i="6"/>
  <c r="I12" i="6"/>
  <c r="K12" i="6"/>
  <c r="L12" i="6"/>
  <c r="M12" i="6"/>
  <c r="N12" i="6"/>
  <c r="J20" i="3" l="1"/>
  <c r="K20" i="3"/>
  <c r="L20" i="3"/>
  <c r="M20" i="3"/>
  <c r="I20" i="3"/>
  <c r="J26" i="3"/>
  <c r="K26" i="3"/>
  <c r="L26" i="3"/>
  <c r="M26" i="3"/>
  <c r="I26" i="3"/>
  <c r="J24" i="3"/>
  <c r="K24" i="3"/>
  <c r="L24" i="3"/>
  <c r="M24" i="3"/>
  <c r="I24" i="3"/>
  <c r="L21" i="2"/>
  <c r="I21" i="2"/>
  <c r="K21" i="2"/>
  <c r="M21" i="2"/>
  <c r="J21" i="2"/>
  <c r="I19" i="2"/>
  <c r="K19" i="2"/>
  <c r="L19" i="2"/>
  <c r="M19" i="2"/>
  <c r="J19" i="2"/>
  <c r="J10" i="2"/>
  <c r="K10" i="2"/>
  <c r="K15" i="2" s="1"/>
  <c r="L10" i="2"/>
  <c r="M10" i="2"/>
  <c r="I15" i="2"/>
  <c r="L15" i="2"/>
  <c r="M15" i="2"/>
  <c r="J15" i="2"/>
  <c r="I21" i="3"/>
  <c r="I16" i="3"/>
  <c r="J16" i="3"/>
  <c r="J21" i="3"/>
  <c r="K21" i="3"/>
  <c r="L21" i="3"/>
  <c r="M21" i="3"/>
  <c r="J19" i="3"/>
  <c r="K19" i="3"/>
  <c r="L19" i="3"/>
  <c r="M19" i="3"/>
  <c r="I19" i="3"/>
  <c r="J9" i="3"/>
  <c r="K9" i="3"/>
  <c r="L9" i="3"/>
  <c r="M9" i="3"/>
  <c r="I9" i="3"/>
  <c r="I13" i="6" l="1"/>
  <c r="J13" i="6"/>
  <c r="I10" i="6"/>
  <c r="J10" i="6"/>
  <c r="J12" i="6"/>
  <c r="B10" i="5"/>
  <c r="B9" i="5"/>
  <c r="B8" i="5"/>
  <c r="I16" i="5"/>
  <c r="K16" i="5"/>
  <c r="L16" i="5"/>
  <c r="M16" i="5"/>
  <c r="J16" i="5"/>
  <c r="I15" i="5"/>
  <c r="K15" i="5"/>
  <c r="L15" i="5"/>
  <c r="M15" i="5"/>
  <c r="J15" i="5"/>
  <c r="I14" i="5"/>
  <c r="K14" i="5"/>
  <c r="L14" i="5"/>
  <c r="M14" i="5"/>
  <c r="J14" i="5"/>
  <c r="I11" i="5"/>
  <c r="J9" i="5"/>
  <c r="K9" i="5"/>
  <c r="L9" i="5"/>
  <c r="M9" i="5"/>
  <c r="I9" i="5"/>
  <c r="J10" i="5"/>
  <c r="K10" i="5"/>
  <c r="L10" i="5"/>
  <c r="M10" i="5"/>
  <c r="I10" i="5"/>
  <c r="B11" i="4"/>
  <c r="B10" i="4"/>
  <c r="I13" i="4"/>
  <c r="K13" i="4"/>
  <c r="L13" i="4"/>
  <c r="M13" i="4"/>
  <c r="N13" i="4"/>
  <c r="J13" i="4"/>
  <c r="J10" i="4"/>
  <c r="I12" i="4"/>
  <c r="K12" i="4"/>
  <c r="L12" i="4"/>
  <c r="M12" i="4"/>
  <c r="N12" i="4"/>
  <c r="J12" i="4"/>
  <c r="K16" i="3"/>
  <c r="M15" i="3"/>
  <c r="M25" i="3" s="1"/>
  <c r="J15" i="3"/>
  <c r="J25" i="3" s="1"/>
  <c r="I14" i="3"/>
  <c r="I15" i="3" s="1"/>
  <c r="I25" i="3" s="1"/>
  <c r="K14" i="3"/>
  <c r="K15" i="3" s="1"/>
  <c r="K25" i="3" s="1"/>
  <c r="L14" i="3"/>
  <c r="L16" i="3" s="1"/>
  <c r="M14" i="3"/>
  <c r="M16" i="3" s="1"/>
  <c r="J14" i="3"/>
  <c r="J11" i="2"/>
  <c r="K11" i="2"/>
  <c r="L11" i="2"/>
  <c r="M11" i="2"/>
  <c r="I11" i="2"/>
  <c r="I10" i="2"/>
  <c r="J18" i="1"/>
  <c r="J24" i="1" s="1"/>
  <c r="J26" i="1" s="1"/>
  <c r="J9" i="2"/>
  <c r="K9" i="2"/>
  <c r="L9" i="2"/>
  <c r="M9" i="2"/>
  <c r="I9" i="2"/>
  <c r="B13" i="1"/>
  <c r="B12" i="1"/>
  <c r="B16" i="1"/>
  <c r="B11" i="1"/>
  <c r="K26" i="1"/>
  <c r="L26" i="1"/>
  <c r="M26" i="1"/>
  <c r="N26" i="1"/>
  <c r="I26" i="1"/>
  <c r="K25" i="1"/>
  <c r="L25" i="1"/>
  <c r="M25" i="1"/>
  <c r="N25" i="1"/>
  <c r="I25" i="1"/>
  <c r="K23" i="1"/>
  <c r="L23" i="1"/>
  <c r="M23" i="1"/>
  <c r="N23" i="1"/>
  <c r="I23" i="1"/>
  <c r="I24" i="1"/>
  <c r="K24" i="1"/>
  <c r="L24" i="1"/>
  <c r="M24" i="1"/>
  <c r="N24" i="1"/>
  <c r="I18" i="1"/>
  <c r="J20" i="1"/>
  <c r="K20" i="1"/>
  <c r="L20" i="1"/>
  <c r="M20" i="1"/>
  <c r="N20" i="1"/>
  <c r="I20" i="1"/>
  <c r="J19" i="1"/>
  <c r="K19" i="1"/>
  <c r="L19" i="1"/>
  <c r="M19" i="1"/>
  <c r="N19" i="1"/>
  <c r="I19" i="1"/>
  <c r="K18" i="1"/>
  <c r="L18" i="1"/>
  <c r="M18" i="1"/>
  <c r="N18" i="1"/>
  <c r="B9" i="4" l="1"/>
  <c r="I19" i="6"/>
  <c r="I18" i="6"/>
  <c r="B12" i="6"/>
  <c r="B11" i="6"/>
  <c r="B10" i="6"/>
  <c r="B9" i="6"/>
  <c r="L15" i="3"/>
  <c r="L25" i="3" s="1"/>
  <c r="B10" i="3"/>
  <c r="B9" i="3"/>
  <c r="B8" i="3"/>
  <c r="J25" i="1"/>
  <c r="J23" i="1"/>
</calcChain>
</file>

<file path=xl/sharedStrings.xml><?xml version="1.0" encoding="utf-8"?>
<sst xmlns="http://schemas.openxmlformats.org/spreadsheetml/2006/main" count="462" uniqueCount="90">
  <si>
    <t>Aula 5 - Minimizacao (com restricao &gt;=)</t>
  </si>
  <si>
    <t>Restricoes:</t>
  </si>
  <si>
    <t>Min:</t>
  </si>
  <si>
    <t>Z = 3x + 2y</t>
  </si>
  <si>
    <t>5x + 6y &gt;= 30</t>
  </si>
  <si>
    <t>8x + 3y &gt;= 24</t>
  </si>
  <si>
    <t>2x + 5y &gt;= 21</t>
  </si>
  <si>
    <t>x,y &gt;= 0</t>
  </si>
  <si>
    <t>Reescrever FO:</t>
  </si>
  <si>
    <t>Z - 3x -2y = 0</t>
  </si>
  <si>
    <t>R1 -&gt;</t>
  </si>
  <si>
    <t>R2 -&gt;</t>
  </si>
  <si>
    <t>R3 -&gt;</t>
  </si>
  <si>
    <t>5x + 6y - E1 = 30</t>
  </si>
  <si>
    <t>8x + 3y - E2 = 24</t>
  </si>
  <si>
    <t>2x + 5y - E3 = 21</t>
  </si>
  <si>
    <t>W -&gt; 3x + 2y = 0</t>
  </si>
  <si>
    <t>B</t>
  </si>
  <si>
    <t>E1</t>
  </si>
  <si>
    <t>E2</t>
  </si>
  <si>
    <t>E3</t>
  </si>
  <si>
    <t>Resultado</t>
  </si>
  <si>
    <t>L1</t>
  </si>
  <si>
    <t>L2</t>
  </si>
  <si>
    <t>L3</t>
  </si>
  <si>
    <t>L4</t>
  </si>
  <si>
    <t xml:space="preserve"> -8x - 3y + E2 = -24</t>
  </si>
  <si>
    <t xml:space="preserve"> -2x - 5y + E3 = -21</t>
  </si>
  <si>
    <t>W</t>
  </si>
  <si>
    <t xml:space="preserve"> -5x - 6y + E1 = -30</t>
  </si>
  <si>
    <t>X</t>
  </si>
  <si>
    <t>Y</t>
  </si>
  <si>
    <t>LP (Menor Resultado)</t>
  </si>
  <si>
    <t>CP (Menor Valor entre divisão L4/LP)</t>
  </si>
  <si>
    <t xml:space="preserve">NL2 -&gt; 3L1 + L2   </t>
  </si>
  <si>
    <t xml:space="preserve">NL3 -&gt; 5L1 + L3   </t>
  </si>
  <si>
    <t xml:space="preserve">NL4 -&gt; -2L1 + L4   </t>
  </si>
  <si>
    <t xml:space="preserve">NL1 -&gt; L1 / -6   </t>
  </si>
  <si>
    <t xml:space="preserve">NL2 -&gt; L2 / -5 1/2   </t>
  </si>
  <si>
    <t xml:space="preserve">NL1 -&gt; -5/6L1 + L2   </t>
  </si>
  <si>
    <t xml:space="preserve">NL3 -&gt; -2 1/6L3 + L2   </t>
  </si>
  <si>
    <t xml:space="preserve">NL4 -&gt; -1 1/3L4 + L2   </t>
  </si>
  <si>
    <t>Z = -W</t>
  </si>
  <si>
    <t>Z = 3x + 4y</t>
  </si>
  <si>
    <t>Multiplicar (-1)</t>
  </si>
  <si>
    <t>5x + 3y ≥ 14</t>
  </si>
  <si>
    <t>2x + 7y ≥ 11</t>
  </si>
  <si>
    <t>5x + 3y - E1 = 14</t>
  </si>
  <si>
    <t>2x + 7y - E2 = 11</t>
  </si>
  <si>
    <t>Z - 3x -4y = 0</t>
  </si>
  <si>
    <t>W -&gt; 3x + 4y = 0</t>
  </si>
  <si>
    <t xml:space="preserve"> -5x - 3y + E1 = -14</t>
  </si>
  <si>
    <t xml:space="preserve"> -2x - 7y + E2 = -11</t>
  </si>
  <si>
    <t>Z = 7x + 6y</t>
  </si>
  <si>
    <t>8x + 9y ≥ 70</t>
  </si>
  <si>
    <t>9x + 5y ≥ 47</t>
  </si>
  <si>
    <t>9x + 5y - E2 = 47</t>
  </si>
  <si>
    <t>8x + 9y - E1 = 70</t>
  </si>
  <si>
    <t xml:space="preserve"> -8x -9y + E1 = -70</t>
  </si>
  <si>
    <t xml:space="preserve"> -9x - 5y + E2 = -47</t>
  </si>
  <si>
    <t>W -&gt; 7x + 6y = 0</t>
  </si>
  <si>
    <t>Z - 7x -6y = 0</t>
  </si>
  <si>
    <t>CP (Menor Valor entre divisão L3/LP)</t>
  </si>
  <si>
    <t>Z = 5x + 4y</t>
  </si>
  <si>
    <t>W -&gt; 5x + 4y = 0</t>
  </si>
  <si>
    <t>Z - 5x - 4y = 0</t>
  </si>
  <si>
    <t>10x + 2y ≥ 20</t>
  </si>
  <si>
    <t>10x + 2y - E1 = 20</t>
  </si>
  <si>
    <t xml:space="preserve"> -10x - 2y + E1 = -20</t>
  </si>
  <si>
    <t>8x + 4y ≥ 32</t>
  </si>
  <si>
    <t xml:space="preserve"> -9x -4y + E2 = -32</t>
  </si>
  <si>
    <t>8x + 4y - E2 = 32</t>
  </si>
  <si>
    <t>4x + 10y ≥ 40</t>
  </si>
  <si>
    <t>4x + 10y - E3 = 40</t>
  </si>
  <si>
    <t xml:space="preserve"> -4x -10y + E3 = -40</t>
  </si>
  <si>
    <t>Z = 7x + 5y</t>
  </si>
  <si>
    <t>W -&gt; 7x + 5y = 0</t>
  </si>
  <si>
    <t>Z - 7x - 5y = 0</t>
  </si>
  <si>
    <t>x + y ≥ 4</t>
  </si>
  <si>
    <t>5x + 2y ≥ 10</t>
  </si>
  <si>
    <t>x + y - E1 = 4</t>
  </si>
  <si>
    <t>5x + 2y - E2 = 10</t>
  </si>
  <si>
    <t xml:space="preserve"> -x -y + E1 = -4</t>
  </si>
  <si>
    <t xml:space="preserve"> -5x -2y + E2 = -10</t>
  </si>
  <si>
    <t>Z = 4x + 5y</t>
  </si>
  <si>
    <t>W -&gt; 4x + 5y = 0</t>
  </si>
  <si>
    <t>Z - 4x - 5y = 0</t>
  </si>
  <si>
    <t xml:space="preserve"> -10x -2y + E1 = -20</t>
  </si>
  <si>
    <t xml:space="preserve"> -8x -4y + E2 = -32</t>
  </si>
  <si>
    <t xml:space="preserve"> -4x -10y + E3 -40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</si>
</sst>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1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2" fontId="0" fillId="2" borderId="1" xfId="0" applyNumberFormat="1" applyFill="1" applyBorder="1" applyAlignment="1">
      <alignment horizontal="center" vertical="center"/>
    </xf>
    <xf numFmtId="13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center" vertical="center"/>
    </xf>
    <xf numFmtId="13" fontId="0" fillId="3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2" fontId="0" fillId="0" borderId="0" xfId="0" applyNumberFormat="1"/>
    <xf numFmtId="13" fontId="0" fillId="0" borderId="0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/>
    <xf numFmtId="12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opLeftCell="A13" workbookViewId="0">
      <selection activeCell="D25" sqref="D25"/>
    </sheetView>
  </sheetViews>
  <sheetFormatPr defaultRowHeight="14.4" x14ac:dyDescent="0.3"/>
  <cols>
    <col min="1" max="1" width="14" customWidth="1"/>
    <col min="2" max="2" width="13.33203125" customWidth="1"/>
    <col min="4" max="5" width="16.77734375" customWidth="1"/>
    <col min="9" max="9" width="9.88671875" bestFit="1" customWidth="1"/>
    <col min="10" max="10" width="9.21875" bestFit="1" customWidth="1"/>
    <col min="11" max="11" width="9" bestFit="1" customWidth="1"/>
    <col min="12" max="13" width="9.21875" bestFit="1" customWidth="1"/>
    <col min="14" max="14" width="10.77734375" customWidth="1"/>
    <col min="15" max="15" width="21.5546875" customWidth="1"/>
  </cols>
  <sheetData>
    <row r="1" spans="1:21" ht="19.95" customHeight="1" x14ac:dyDescent="0.3">
      <c r="A1" s="19" t="s">
        <v>0</v>
      </c>
      <c r="B1" s="19"/>
      <c r="C1" s="19"/>
      <c r="D1" s="1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9.95" customHeight="1" x14ac:dyDescent="0.3">
      <c r="A2" s="1"/>
      <c r="B2" s="1"/>
      <c r="C2" s="1"/>
      <c r="D2" s="1"/>
      <c r="E2" s="1"/>
      <c r="F2" s="1"/>
      <c r="J2" t="s">
        <v>33</v>
      </c>
      <c r="P2" s="1"/>
      <c r="Q2" s="1"/>
      <c r="R2" s="1"/>
      <c r="S2" s="1"/>
      <c r="T2" s="1"/>
      <c r="U2" s="1"/>
    </row>
    <row r="3" spans="1:21" ht="19.95" customHeight="1" x14ac:dyDescent="0.3">
      <c r="A3" s="3" t="s">
        <v>2</v>
      </c>
      <c r="B3" s="3" t="s">
        <v>3</v>
      </c>
      <c r="C3" s="3"/>
      <c r="D3" s="3"/>
      <c r="E3" s="3" t="s">
        <v>44</v>
      </c>
      <c r="F3" s="1"/>
      <c r="G3" s="2"/>
      <c r="H3" s="2" t="s">
        <v>17</v>
      </c>
      <c r="I3" s="2" t="s">
        <v>30</v>
      </c>
      <c r="J3" s="2" t="s">
        <v>31</v>
      </c>
      <c r="K3" s="2" t="s">
        <v>18</v>
      </c>
      <c r="L3" s="2" t="s">
        <v>19</v>
      </c>
      <c r="M3" s="2" t="s">
        <v>20</v>
      </c>
      <c r="N3" s="2" t="s">
        <v>21</v>
      </c>
      <c r="O3" s="1"/>
      <c r="P3" s="1"/>
      <c r="Q3" s="1"/>
      <c r="R3" s="1"/>
      <c r="S3" s="1"/>
      <c r="T3" s="1"/>
      <c r="U3" s="1"/>
    </row>
    <row r="4" spans="1:21" ht="19.95" customHeight="1" x14ac:dyDescent="0.3">
      <c r="A4" s="3" t="s">
        <v>1</v>
      </c>
      <c r="B4" s="3" t="s">
        <v>4</v>
      </c>
      <c r="C4" s="3" t="s">
        <v>10</v>
      </c>
      <c r="D4" s="3" t="s">
        <v>13</v>
      </c>
      <c r="E4" s="3" t="s">
        <v>29</v>
      </c>
      <c r="F4" s="1"/>
      <c r="G4" s="2" t="s">
        <v>22</v>
      </c>
      <c r="H4" s="4" t="s">
        <v>18</v>
      </c>
      <c r="I4" s="4">
        <v>-5</v>
      </c>
      <c r="J4" s="4">
        <v>-6</v>
      </c>
      <c r="K4" s="4">
        <v>1</v>
      </c>
      <c r="L4" s="4">
        <v>0</v>
      </c>
      <c r="M4" s="4">
        <v>0</v>
      </c>
      <c r="N4" s="4">
        <v>-30</v>
      </c>
      <c r="O4" s="1" t="s">
        <v>32</v>
      </c>
      <c r="P4" s="1"/>
      <c r="Q4" s="1"/>
      <c r="R4" s="1"/>
      <c r="S4" s="1"/>
      <c r="T4" s="1"/>
      <c r="U4" s="1"/>
    </row>
    <row r="5" spans="1:21" ht="19.95" customHeight="1" x14ac:dyDescent="0.3">
      <c r="A5" s="3"/>
      <c r="B5" s="3" t="s">
        <v>5</v>
      </c>
      <c r="C5" s="3" t="s">
        <v>11</v>
      </c>
      <c r="D5" s="3" t="s">
        <v>14</v>
      </c>
      <c r="E5" s="3" t="s">
        <v>26</v>
      </c>
      <c r="F5" s="1"/>
      <c r="G5" s="2" t="s">
        <v>23</v>
      </c>
      <c r="H5" s="2" t="s">
        <v>19</v>
      </c>
      <c r="I5" s="2">
        <v>-8</v>
      </c>
      <c r="J5" s="4">
        <v>-3</v>
      </c>
      <c r="K5" s="2">
        <v>0</v>
      </c>
      <c r="L5" s="2">
        <v>1</v>
      </c>
      <c r="M5" s="2">
        <v>0</v>
      </c>
      <c r="N5" s="2">
        <v>-24</v>
      </c>
      <c r="O5" s="1"/>
      <c r="P5" s="1"/>
      <c r="Q5" s="1"/>
      <c r="R5" s="1"/>
      <c r="S5" s="1"/>
      <c r="T5" s="1"/>
      <c r="U5" s="1"/>
    </row>
    <row r="6" spans="1:21" ht="19.95" customHeight="1" x14ac:dyDescent="0.3">
      <c r="A6" s="3"/>
      <c r="B6" s="3" t="s">
        <v>6</v>
      </c>
      <c r="C6" s="3" t="s">
        <v>12</v>
      </c>
      <c r="D6" s="3" t="s">
        <v>15</v>
      </c>
      <c r="E6" s="3" t="s">
        <v>27</v>
      </c>
      <c r="F6" s="1"/>
      <c r="G6" s="2" t="s">
        <v>24</v>
      </c>
      <c r="H6" s="2" t="s">
        <v>20</v>
      </c>
      <c r="I6" s="2">
        <v>-2</v>
      </c>
      <c r="J6" s="4">
        <v>-5</v>
      </c>
      <c r="K6" s="2">
        <v>0</v>
      </c>
      <c r="L6" s="2">
        <v>0</v>
      </c>
      <c r="M6" s="2">
        <v>1</v>
      </c>
      <c r="N6" s="2">
        <v>-21</v>
      </c>
      <c r="O6" s="1"/>
      <c r="P6" s="1"/>
      <c r="Q6" s="1"/>
      <c r="R6" s="1"/>
      <c r="S6" s="1"/>
      <c r="T6" s="1"/>
      <c r="U6" s="1"/>
    </row>
    <row r="7" spans="1:21" ht="19.95" customHeight="1" x14ac:dyDescent="0.3">
      <c r="A7" s="3"/>
      <c r="B7" s="3" t="s">
        <v>7</v>
      </c>
      <c r="C7" s="3"/>
      <c r="D7" s="3"/>
      <c r="E7" s="3"/>
      <c r="F7" s="1"/>
      <c r="G7" s="2" t="s">
        <v>25</v>
      </c>
      <c r="H7" s="2" t="s">
        <v>28</v>
      </c>
      <c r="I7" s="2">
        <v>3</v>
      </c>
      <c r="J7" s="4">
        <v>2</v>
      </c>
      <c r="K7" s="2">
        <v>0</v>
      </c>
      <c r="L7" s="2">
        <v>0</v>
      </c>
      <c r="M7" s="2">
        <v>0</v>
      </c>
      <c r="N7" s="2">
        <v>0</v>
      </c>
      <c r="O7" s="1"/>
      <c r="P7" s="1"/>
      <c r="Q7" s="1"/>
      <c r="R7" s="1"/>
      <c r="S7" s="1"/>
      <c r="T7" s="1"/>
      <c r="U7" s="1"/>
    </row>
    <row r="8" spans="1:21" ht="19.95" customHeight="1" x14ac:dyDescent="0.3">
      <c r="A8" s="3"/>
      <c r="B8" s="3"/>
      <c r="C8" s="3"/>
      <c r="D8" s="3" t="s">
        <v>16</v>
      </c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9.95" customHeight="1" x14ac:dyDescent="0.3">
      <c r="A9" s="3" t="s">
        <v>8</v>
      </c>
      <c r="B9" s="3" t="s">
        <v>9</v>
      </c>
      <c r="C9" s="3"/>
      <c r="D9" s="3"/>
      <c r="E9" s="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9.95" customHeight="1" x14ac:dyDescent="0.3">
      <c r="A10" s="1"/>
      <c r="B10" s="1"/>
      <c r="C10" s="1"/>
      <c r="D10" s="1"/>
      <c r="E10" s="1"/>
      <c r="F10" s="1"/>
      <c r="G10" s="2"/>
      <c r="H10" s="2" t="s">
        <v>17</v>
      </c>
      <c r="I10" s="2" t="s">
        <v>30</v>
      </c>
      <c r="J10" s="2" t="s">
        <v>31</v>
      </c>
      <c r="K10" s="2" t="s">
        <v>18</v>
      </c>
      <c r="L10" s="2" t="s">
        <v>19</v>
      </c>
      <c r="M10" s="2" t="s">
        <v>20</v>
      </c>
      <c r="N10" s="2" t="s">
        <v>21</v>
      </c>
      <c r="O10" s="1"/>
      <c r="P10" s="1"/>
      <c r="Q10" s="1"/>
      <c r="R10" s="1"/>
      <c r="S10" s="1"/>
      <c r="T10" s="1"/>
      <c r="U10" s="1"/>
    </row>
    <row r="11" spans="1:21" ht="19.95" customHeight="1" x14ac:dyDescent="0.3">
      <c r="A11" s="12" t="s">
        <v>42</v>
      </c>
      <c r="B11" s="13">
        <f>N26*-1</f>
        <v>12.181818181818176</v>
      </c>
      <c r="C11" s="1"/>
      <c r="D11" s="1"/>
      <c r="E11" s="1"/>
      <c r="F11" s="6" t="s">
        <v>37</v>
      </c>
      <c r="G11" s="2" t="s">
        <v>22</v>
      </c>
      <c r="H11" s="2" t="s">
        <v>31</v>
      </c>
      <c r="I11" s="5">
        <v>0.83333333333333337</v>
      </c>
      <c r="J11" s="9">
        <v>1</v>
      </c>
      <c r="K11" s="5">
        <v>-0.16666666666666666</v>
      </c>
      <c r="L11" s="5">
        <v>0</v>
      </c>
      <c r="M11" s="5">
        <v>0</v>
      </c>
      <c r="N11" s="5">
        <v>5</v>
      </c>
      <c r="O11" s="1"/>
      <c r="P11" s="1"/>
      <c r="Q11" s="1"/>
      <c r="R11" s="1"/>
      <c r="S11" s="1"/>
      <c r="T11" s="1"/>
      <c r="U11" s="1"/>
    </row>
    <row r="12" spans="1:21" ht="19.95" customHeight="1" x14ac:dyDescent="0.3">
      <c r="A12" s="12" t="s">
        <v>30</v>
      </c>
      <c r="B12" s="13">
        <f>N24</f>
        <v>1.6363636363636365</v>
      </c>
      <c r="C12" s="1"/>
      <c r="D12" s="1"/>
      <c r="E12" s="1"/>
      <c r="F12" s="1"/>
      <c r="G12" s="2" t="s">
        <v>23</v>
      </c>
      <c r="H12" s="2" t="s">
        <v>19</v>
      </c>
      <c r="I12" s="5">
        <v>-8</v>
      </c>
      <c r="J12" s="5">
        <v>-3</v>
      </c>
      <c r="K12" s="5">
        <v>0</v>
      </c>
      <c r="L12" s="5">
        <v>1</v>
      </c>
      <c r="M12" s="5">
        <v>0</v>
      </c>
      <c r="N12" s="5">
        <v>-24</v>
      </c>
      <c r="O12" s="1"/>
      <c r="P12" s="1"/>
      <c r="Q12" s="1"/>
      <c r="R12" s="1"/>
      <c r="S12" s="1"/>
      <c r="T12" s="1"/>
      <c r="U12" s="1"/>
    </row>
    <row r="13" spans="1:21" ht="19.95" customHeight="1" x14ac:dyDescent="0.3">
      <c r="A13" s="12" t="s">
        <v>31</v>
      </c>
      <c r="B13" s="13">
        <f>N23</f>
        <v>3.6363636363636362</v>
      </c>
      <c r="C13" s="1"/>
      <c r="D13" s="1"/>
      <c r="E13" s="1"/>
      <c r="F13" s="1"/>
      <c r="G13" s="2" t="s">
        <v>24</v>
      </c>
      <c r="H13" s="2" t="s">
        <v>20</v>
      </c>
      <c r="I13" s="5">
        <v>-2</v>
      </c>
      <c r="J13" s="5">
        <v>-5</v>
      </c>
      <c r="K13" s="5">
        <v>0</v>
      </c>
      <c r="L13" s="5">
        <v>0</v>
      </c>
      <c r="M13" s="5">
        <v>1</v>
      </c>
      <c r="N13" s="5">
        <v>-21</v>
      </c>
      <c r="O13" s="1"/>
      <c r="P13" s="1"/>
      <c r="Q13" s="1"/>
      <c r="R13" s="1"/>
      <c r="S13" s="1"/>
      <c r="T13" s="1"/>
      <c r="U13" s="1"/>
    </row>
    <row r="14" spans="1:21" ht="19.95" customHeight="1" x14ac:dyDescent="0.3">
      <c r="A14" s="12" t="s">
        <v>18</v>
      </c>
      <c r="B14" s="12">
        <v>0</v>
      </c>
      <c r="C14" s="1"/>
      <c r="D14" s="1"/>
      <c r="E14" s="1"/>
      <c r="F14" s="1"/>
      <c r="G14" s="2" t="s">
        <v>25</v>
      </c>
      <c r="H14" s="2" t="s">
        <v>28</v>
      </c>
      <c r="I14" s="5">
        <v>3</v>
      </c>
      <c r="J14" s="5">
        <v>2</v>
      </c>
      <c r="K14" s="5">
        <v>0</v>
      </c>
      <c r="L14" s="5">
        <v>0</v>
      </c>
      <c r="M14" s="5">
        <v>0</v>
      </c>
      <c r="N14" s="5">
        <v>0</v>
      </c>
      <c r="O14" s="1"/>
      <c r="P14" s="1"/>
      <c r="Q14" s="1"/>
      <c r="R14" s="1"/>
      <c r="S14" s="1"/>
      <c r="T14" s="1"/>
      <c r="U14" s="1"/>
    </row>
    <row r="15" spans="1:21" ht="19.95" customHeight="1" x14ac:dyDescent="0.3">
      <c r="A15" s="12" t="s">
        <v>19</v>
      </c>
      <c r="B15" s="12"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9.95" customHeight="1" x14ac:dyDescent="0.3">
      <c r="A16" s="12" t="s">
        <v>20</v>
      </c>
      <c r="B16" s="13">
        <f>N25</f>
        <v>0.45454545454545459</v>
      </c>
      <c r="C16" s="1"/>
      <c r="D16" s="1"/>
      <c r="E16" s="1"/>
      <c r="F16" s="1"/>
      <c r="G16" s="2"/>
      <c r="H16" s="2" t="s">
        <v>17</v>
      </c>
      <c r="I16" s="2" t="s">
        <v>30</v>
      </c>
      <c r="J16" s="2" t="s">
        <v>31</v>
      </c>
      <c r="K16" s="2" t="s">
        <v>18</v>
      </c>
      <c r="L16" s="2" t="s">
        <v>19</v>
      </c>
      <c r="M16" s="2" t="s">
        <v>20</v>
      </c>
      <c r="N16" s="2" t="s">
        <v>21</v>
      </c>
      <c r="O16" s="1"/>
      <c r="P16" s="1"/>
      <c r="Q16" s="1"/>
      <c r="R16" s="1"/>
      <c r="S16" s="1"/>
      <c r="T16" s="1"/>
      <c r="U16" s="1"/>
    </row>
    <row r="17" spans="1:21" ht="19.95" customHeight="1" x14ac:dyDescent="0.3">
      <c r="A17" s="1"/>
      <c r="B17" s="1"/>
      <c r="C17" s="1"/>
      <c r="D17" s="1"/>
      <c r="E17" s="1"/>
      <c r="F17" s="1"/>
      <c r="G17" s="2" t="s">
        <v>22</v>
      </c>
      <c r="H17" s="2" t="s">
        <v>31</v>
      </c>
      <c r="I17" s="10">
        <v>0.83333333333333337</v>
      </c>
      <c r="J17" s="7">
        <v>1</v>
      </c>
      <c r="K17" s="7">
        <v>-0.16666666666666666</v>
      </c>
      <c r="L17" s="7">
        <v>0</v>
      </c>
      <c r="M17" s="7">
        <v>0</v>
      </c>
      <c r="N17" s="7">
        <v>5</v>
      </c>
      <c r="O17" s="1"/>
      <c r="P17" s="1"/>
      <c r="Q17" s="1"/>
      <c r="R17" s="1"/>
      <c r="S17" s="1"/>
      <c r="T17" s="1"/>
      <c r="U17" s="1"/>
    </row>
    <row r="18" spans="1:21" ht="19.95" customHeight="1" x14ac:dyDescent="0.3">
      <c r="A18" s="1"/>
      <c r="B18" s="1"/>
      <c r="C18" s="1"/>
      <c r="D18" s="1"/>
      <c r="E18" s="1"/>
      <c r="F18" s="6" t="s">
        <v>34</v>
      </c>
      <c r="G18" s="2" t="s">
        <v>23</v>
      </c>
      <c r="H18" s="4" t="s">
        <v>19</v>
      </c>
      <c r="I18" s="10">
        <f t="shared" ref="I18:N18" si="0">3*I17+I12</f>
        <v>-5.5</v>
      </c>
      <c r="J18" s="10">
        <f t="shared" si="0"/>
        <v>0</v>
      </c>
      <c r="K18" s="10">
        <f t="shared" si="0"/>
        <v>-0.5</v>
      </c>
      <c r="L18" s="10">
        <f t="shared" si="0"/>
        <v>1</v>
      </c>
      <c r="M18" s="10">
        <f t="shared" si="0"/>
        <v>0</v>
      </c>
      <c r="N18" s="10">
        <f t="shared" si="0"/>
        <v>-9</v>
      </c>
      <c r="O18" s="1" t="s">
        <v>32</v>
      </c>
      <c r="P18" s="1"/>
      <c r="Q18" s="1"/>
      <c r="R18" s="1"/>
      <c r="S18" s="1"/>
      <c r="T18" s="1"/>
      <c r="U18" s="1"/>
    </row>
    <row r="19" spans="1:21" ht="19.95" customHeight="1" x14ac:dyDescent="0.3">
      <c r="A19" s="1"/>
      <c r="B19" s="1"/>
      <c r="C19" s="1"/>
      <c r="D19" s="1"/>
      <c r="E19" s="1"/>
      <c r="F19" s="6" t="s">
        <v>35</v>
      </c>
      <c r="G19" s="2" t="s">
        <v>24</v>
      </c>
      <c r="H19" s="2" t="s">
        <v>20</v>
      </c>
      <c r="I19" s="10">
        <f t="shared" ref="I19:N19" si="1">5*I17+I13</f>
        <v>2.166666666666667</v>
      </c>
      <c r="J19" s="7">
        <f t="shared" si="1"/>
        <v>0</v>
      </c>
      <c r="K19" s="7">
        <f t="shared" si="1"/>
        <v>-0.83333333333333326</v>
      </c>
      <c r="L19" s="7">
        <f t="shared" si="1"/>
        <v>0</v>
      </c>
      <c r="M19" s="7">
        <f t="shared" si="1"/>
        <v>1</v>
      </c>
      <c r="N19" s="7">
        <f t="shared" si="1"/>
        <v>4</v>
      </c>
      <c r="O19" s="1"/>
      <c r="P19" s="1"/>
      <c r="Q19" s="1"/>
      <c r="R19" s="1"/>
      <c r="S19" s="1"/>
      <c r="T19" s="1"/>
      <c r="U19" s="1"/>
    </row>
    <row r="20" spans="1:21" ht="19.95" customHeight="1" x14ac:dyDescent="0.3">
      <c r="A20" s="1"/>
      <c r="B20" s="1"/>
      <c r="C20" s="1"/>
      <c r="D20" s="1"/>
      <c r="E20" s="1"/>
      <c r="F20" s="6" t="s">
        <v>36</v>
      </c>
      <c r="G20" s="2" t="s">
        <v>25</v>
      </c>
      <c r="H20" s="2" t="s">
        <v>28</v>
      </c>
      <c r="I20" s="10">
        <f t="shared" ref="I20:N20" si="2">-2*I17+I14</f>
        <v>1.3333333333333333</v>
      </c>
      <c r="J20" s="7">
        <f t="shared" si="2"/>
        <v>0</v>
      </c>
      <c r="K20" s="7">
        <f t="shared" si="2"/>
        <v>0.33333333333333331</v>
      </c>
      <c r="L20" s="7">
        <f t="shared" si="2"/>
        <v>0</v>
      </c>
      <c r="M20" s="7">
        <f t="shared" si="2"/>
        <v>0</v>
      </c>
      <c r="N20" s="7">
        <f t="shared" si="2"/>
        <v>-10</v>
      </c>
      <c r="O20" s="1"/>
      <c r="P20" s="1"/>
      <c r="Q20" s="1"/>
      <c r="R20" s="1"/>
      <c r="S20" s="1"/>
      <c r="T20" s="1"/>
      <c r="U20" s="1"/>
    </row>
    <row r="21" spans="1:21" ht="19.9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9.95" customHeight="1" x14ac:dyDescent="0.3">
      <c r="A22" s="1"/>
      <c r="B22" s="1"/>
      <c r="C22" s="1"/>
      <c r="D22" s="1"/>
      <c r="E22" s="1"/>
      <c r="F22" s="1"/>
      <c r="G22" s="2"/>
      <c r="H22" s="2" t="s">
        <v>17</v>
      </c>
      <c r="I22" s="2" t="s">
        <v>30</v>
      </c>
      <c r="J22" s="2" t="s">
        <v>31</v>
      </c>
      <c r="K22" s="2" t="s">
        <v>18</v>
      </c>
      <c r="L22" s="2" t="s">
        <v>19</v>
      </c>
      <c r="M22" s="2" t="s">
        <v>20</v>
      </c>
      <c r="N22" s="2" t="s">
        <v>21</v>
      </c>
      <c r="O22" s="1"/>
      <c r="P22" s="1"/>
      <c r="Q22" s="1"/>
      <c r="R22" s="1"/>
      <c r="S22" s="1"/>
      <c r="T22" s="1"/>
      <c r="U22" s="1"/>
    </row>
    <row r="23" spans="1:21" ht="19.95" customHeight="1" x14ac:dyDescent="0.3">
      <c r="A23" s="1"/>
      <c r="B23" s="1"/>
      <c r="C23" s="1"/>
      <c r="D23" s="1"/>
      <c r="E23" s="1"/>
      <c r="F23" s="6" t="s">
        <v>39</v>
      </c>
      <c r="G23" s="2" t="s">
        <v>22</v>
      </c>
      <c r="H23" s="7" t="s">
        <v>31</v>
      </c>
      <c r="I23" s="7">
        <f>-(5/6)*I24+I17</f>
        <v>0</v>
      </c>
      <c r="J23" s="7">
        <f t="shared" ref="J23:N23" si="3">-(5/6)*J24+J17</f>
        <v>1</v>
      </c>
      <c r="K23" s="7">
        <f t="shared" si="3"/>
        <v>-0.24242424242424243</v>
      </c>
      <c r="L23" s="7">
        <f t="shared" si="3"/>
        <v>0.15151515151515152</v>
      </c>
      <c r="M23" s="7">
        <f t="shared" si="3"/>
        <v>0</v>
      </c>
      <c r="N23" s="7">
        <f t="shared" si="3"/>
        <v>3.6363636363636362</v>
      </c>
      <c r="O23" s="1"/>
      <c r="P23" s="1"/>
      <c r="Q23" s="1"/>
      <c r="R23" s="1"/>
      <c r="S23" s="1"/>
      <c r="T23" s="1"/>
      <c r="U23" s="1"/>
    </row>
    <row r="24" spans="1:21" ht="19.95" customHeight="1" x14ac:dyDescent="0.3">
      <c r="A24" s="1"/>
      <c r="B24" s="1"/>
      <c r="C24" s="1"/>
      <c r="D24" s="1"/>
      <c r="E24" s="1"/>
      <c r="F24" s="6" t="s">
        <v>38</v>
      </c>
      <c r="G24" s="2" t="s">
        <v>23</v>
      </c>
      <c r="H24" s="7" t="s">
        <v>30</v>
      </c>
      <c r="I24" s="10">
        <f>I18/I18</f>
        <v>1</v>
      </c>
      <c r="J24" s="7">
        <f t="shared" ref="J24:N24" si="4">J18/$I$18</f>
        <v>0</v>
      </c>
      <c r="K24" s="7">
        <f>K18/$I$18</f>
        <v>9.0909090909090912E-2</v>
      </c>
      <c r="L24" s="7">
        <f t="shared" si="4"/>
        <v>-0.18181818181818182</v>
      </c>
      <c r="M24" s="7">
        <f t="shared" si="4"/>
        <v>0</v>
      </c>
      <c r="N24" s="7">
        <f t="shared" si="4"/>
        <v>1.6363636363636365</v>
      </c>
      <c r="O24" s="1"/>
      <c r="P24" s="1"/>
      <c r="Q24" s="1"/>
      <c r="R24" s="1"/>
      <c r="S24" s="1"/>
      <c r="T24" s="1"/>
      <c r="U24" s="1"/>
    </row>
    <row r="25" spans="1:21" ht="19.95" customHeight="1" x14ac:dyDescent="0.3">
      <c r="A25" s="1"/>
      <c r="B25" s="1"/>
      <c r="C25" s="1"/>
      <c r="D25" s="1"/>
      <c r="E25" s="1"/>
      <c r="F25" s="6" t="s">
        <v>40</v>
      </c>
      <c r="G25" s="2" t="s">
        <v>24</v>
      </c>
      <c r="H25" s="7" t="s">
        <v>20</v>
      </c>
      <c r="I25" s="7">
        <f>-(2.16666666666667)*I24+I19</f>
        <v>0</v>
      </c>
      <c r="J25" s="7">
        <f t="shared" ref="J25:N25" si="5">-(2.16666666666667)*J24+J19</f>
        <v>0</v>
      </c>
      <c r="K25" s="7">
        <f t="shared" si="5"/>
        <v>-1.0303030303030303</v>
      </c>
      <c r="L25" s="7">
        <f t="shared" si="5"/>
        <v>0.39393939393939392</v>
      </c>
      <c r="M25" s="7">
        <f t="shared" si="5"/>
        <v>1</v>
      </c>
      <c r="N25" s="7">
        <f t="shared" si="5"/>
        <v>0.45454545454545459</v>
      </c>
      <c r="O25" s="1"/>
      <c r="P25" s="1"/>
      <c r="Q25" s="1"/>
      <c r="R25" s="1"/>
      <c r="S25" s="1"/>
      <c r="T25" s="1"/>
      <c r="U25" s="1"/>
    </row>
    <row r="26" spans="1:21" ht="19.95" customHeight="1" x14ac:dyDescent="0.3">
      <c r="F26" s="11" t="s">
        <v>41</v>
      </c>
      <c r="G26" s="2" t="s">
        <v>25</v>
      </c>
      <c r="H26" s="7" t="s">
        <v>28</v>
      </c>
      <c r="I26" s="7">
        <f>-(1.33333333333333)*I24+I20</f>
        <v>3.3306690738754696E-15</v>
      </c>
      <c r="J26" s="7">
        <f t="shared" ref="J26:N26" si="6">-(1.33333333333333)*J24+J20</f>
        <v>0</v>
      </c>
      <c r="K26" s="7">
        <f t="shared" si="6"/>
        <v>0.2121212121212124</v>
      </c>
      <c r="L26" s="7">
        <f t="shared" si="6"/>
        <v>0.24242424242424182</v>
      </c>
      <c r="M26" s="7">
        <f t="shared" si="6"/>
        <v>0</v>
      </c>
      <c r="N26" s="7">
        <f t="shared" si="6"/>
        <v>-12.181818181818176</v>
      </c>
    </row>
    <row r="27" spans="1:21" ht="19.95" customHeight="1" x14ac:dyDescent="0.3"/>
    <row r="28" spans="1:21" ht="19.95" customHeight="1" x14ac:dyDescent="0.3"/>
    <row r="29" spans="1:21" ht="19.95" customHeight="1" x14ac:dyDescent="0.3"/>
    <row r="30" spans="1:21" ht="19.95" customHeight="1" x14ac:dyDescent="0.3"/>
    <row r="31" spans="1:21" ht="19.95" customHeight="1" x14ac:dyDescent="0.3"/>
    <row r="32" spans="1:21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ADCD-E9A0-4E3E-A690-7BAB4038B5E6}">
  <dimension ref="A1:N49"/>
  <sheetViews>
    <sheetView showGridLines="0" tabSelected="1" workbookViewId="0">
      <selection activeCell="D12" sqref="D12"/>
    </sheetView>
  </sheetViews>
  <sheetFormatPr defaultRowHeight="14.4" x14ac:dyDescent="0.3"/>
  <cols>
    <col min="1" max="1" width="13.33203125" bestFit="1" customWidth="1"/>
    <col min="2" max="2" width="11.5546875" bestFit="1" customWidth="1"/>
    <col min="3" max="3" width="5.21875" bestFit="1" customWidth="1"/>
    <col min="4" max="4" width="14.21875" bestFit="1" customWidth="1"/>
    <col min="5" max="5" width="16" bestFit="1" customWidth="1"/>
    <col min="6" max="6" width="9" customWidth="1"/>
    <col min="7" max="13" width="10.77734375" customWidth="1"/>
  </cols>
  <sheetData>
    <row r="1" spans="1:14" ht="19.95" customHeight="1" x14ac:dyDescent="0.3">
      <c r="A1" s="3" t="s">
        <v>2</v>
      </c>
      <c r="B1" s="3" t="s">
        <v>43</v>
      </c>
      <c r="C1" s="3"/>
      <c r="D1" s="3"/>
      <c r="E1" s="3" t="s">
        <v>44</v>
      </c>
    </row>
    <row r="2" spans="1:14" ht="19.95" customHeight="1" x14ac:dyDescent="0.3">
      <c r="A2" s="3" t="s">
        <v>1</v>
      </c>
      <c r="B2" s="3" t="s">
        <v>45</v>
      </c>
      <c r="C2" s="3" t="s">
        <v>10</v>
      </c>
      <c r="D2" s="3" t="s">
        <v>47</v>
      </c>
      <c r="E2" s="3" t="s">
        <v>51</v>
      </c>
      <c r="F2" s="1"/>
      <c r="G2" t="s">
        <v>62</v>
      </c>
    </row>
    <row r="3" spans="1:14" ht="19.95" customHeight="1" x14ac:dyDescent="0.3">
      <c r="A3" s="3"/>
      <c r="B3" s="3" t="s">
        <v>46</v>
      </c>
      <c r="C3" s="3" t="s">
        <v>11</v>
      </c>
      <c r="D3" s="3" t="s">
        <v>48</v>
      </c>
      <c r="E3" s="3" t="s">
        <v>52</v>
      </c>
      <c r="F3" s="1"/>
      <c r="G3" s="2"/>
      <c r="H3" s="2" t="s">
        <v>17</v>
      </c>
      <c r="I3" s="2" t="s">
        <v>30</v>
      </c>
      <c r="J3" s="2" t="s">
        <v>31</v>
      </c>
      <c r="K3" s="2" t="s">
        <v>18</v>
      </c>
      <c r="L3" s="2" t="s">
        <v>19</v>
      </c>
      <c r="M3" s="2" t="s">
        <v>21</v>
      </c>
      <c r="N3" s="1"/>
    </row>
    <row r="4" spans="1:14" ht="19.95" customHeight="1" x14ac:dyDescent="0.3">
      <c r="A4" s="3"/>
      <c r="B4" s="3" t="s">
        <v>7</v>
      </c>
      <c r="C4" s="3"/>
      <c r="D4" s="3"/>
      <c r="E4" s="3"/>
      <c r="F4" s="1"/>
      <c r="G4" s="2" t="s">
        <v>22</v>
      </c>
      <c r="H4" s="2" t="s">
        <v>18</v>
      </c>
      <c r="I4" s="4">
        <v>-5</v>
      </c>
      <c r="J4" s="4">
        <v>-3</v>
      </c>
      <c r="K4" s="4">
        <v>1</v>
      </c>
      <c r="L4" s="4">
        <v>0</v>
      </c>
      <c r="M4" s="4">
        <v>-14</v>
      </c>
      <c r="N4" s="3" t="s">
        <v>32</v>
      </c>
    </row>
    <row r="5" spans="1:14" ht="19.95" customHeight="1" x14ac:dyDescent="0.3">
      <c r="A5" s="3"/>
      <c r="B5" s="3"/>
      <c r="C5" s="3"/>
      <c r="D5" s="3" t="s">
        <v>50</v>
      </c>
      <c r="E5" s="3"/>
      <c r="F5" s="1"/>
      <c r="G5" s="2" t="s">
        <v>23</v>
      </c>
      <c r="H5" s="2" t="s">
        <v>19</v>
      </c>
      <c r="I5" s="4">
        <v>-2</v>
      </c>
      <c r="J5" s="2">
        <v>-7</v>
      </c>
      <c r="K5" s="2">
        <v>0</v>
      </c>
      <c r="L5" s="2">
        <v>1</v>
      </c>
      <c r="M5" s="2">
        <v>-11</v>
      </c>
    </row>
    <row r="6" spans="1:14" ht="19.95" customHeight="1" x14ac:dyDescent="0.3">
      <c r="A6" s="3" t="s">
        <v>8</v>
      </c>
      <c r="B6" s="3" t="s">
        <v>49</v>
      </c>
      <c r="C6" s="3"/>
      <c r="D6" s="3"/>
      <c r="E6" s="3"/>
      <c r="F6" s="1"/>
      <c r="G6" s="2" t="s">
        <v>24</v>
      </c>
      <c r="H6" s="2" t="s">
        <v>28</v>
      </c>
      <c r="I6" s="4">
        <v>3</v>
      </c>
      <c r="J6" s="2">
        <v>4</v>
      </c>
      <c r="K6" s="2">
        <v>0</v>
      </c>
      <c r="L6" s="2">
        <v>0</v>
      </c>
      <c r="M6" s="2">
        <v>0</v>
      </c>
      <c r="N6" s="1"/>
    </row>
    <row r="7" spans="1:14" ht="19.95" customHeight="1" x14ac:dyDescent="0.3">
      <c r="A7" s="1"/>
      <c r="B7" s="1"/>
      <c r="C7" s="1"/>
      <c r="D7" s="1"/>
      <c r="E7" s="1"/>
      <c r="F7" s="1"/>
      <c r="G7" s="14"/>
      <c r="H7" s="14"/>
      <c r="I7" s="14"/>
      <c r="K7" s="14"/>
      <c r="L7" s="14"/>
      <c r="M7" s="14"/>
      <c r="N7" s="1"/>
    </row>
    <row r="8" spans="1:14" ht="19.95" customHeight="1" x14ac:dyDescent="0.3">
      <c r="A8" s="12" t="s">
        <v>42</v>
      </c>
      <c r="B8" s="13">
        <f>M21*(-1)</f>
        <v>10.448275862068964</v>
      </c>
      <c r="C8" s="1"/>
      <c r="D8" s="1"/>
      <c r="E8" s="1"/>
      <c r="G8" s="2"/>
      <c r="H8" s="2" t="s">
        <v>17</v>
      </c>
      <c r="I8" s="2" t="s">
        <v>30</v>
      </c>
      <c r="J8" s="2" t="s">
        <v>31</v>
      </c>
      <c r="K8" s="2" t="s">
        <v>18</v>
      </c>
      <c r="L8" s="2" t="s">
        <v>19</v>
      </c>
      <c r="M8" s="2" t="s">
        <v>21</v>
      </c>
    </row>
    <row r="9" spans="1:14" ht="19.95" customHeight="1" x14ac:dyDescent="0.3">
      <c r="A9" s="12" t="s">
        <v>30</v>
      </c>
      <c r="B9" s="13">
        <f>M19</f>
        <v>2.2413793103448274</v>
      </c>
      <c r="C9" s="1"/>
      <c r="D9" s="1"/>
      <c r="E9" s="1"/>
      <c r="F9" s="11"/>
      <c r="G9" s="2" t="s">
        <v>22</v>
      </c>
      <c r="H9" s="2" t="s">
        <v>30</v>
      </c>
      <c r="I9" s="8">
        <f>I4/-5</f>
        <v>1</v>
      </c>
      <c r="J9" s="15">
        <f t="shared" ref="J9:M9" si="0">J4/-5</f>
        <v>0.6</v>
      </c>
      <c r="K9" s="20">
        <f t="shared" si="0"/>
        <v>-0.2</v>
      </c>
      <c r="L9" s="8">
        <f t="shared" si="0"/>
        <v>0</v>
      </c>
      <c r="M9" s="8">
        <f t="shared" si="0"/>
        <v>2.8</v>
      </c>
    </row>
    <row r="10" spans="1:14" ht="19.95" customHeight="1" x14ac:dyDescent="0.3">
      <c r="A10" s="12" t="s">
        <v>31</v>
      </c>
      <c r="B10" s="13">
        <f>M20</f>
        <v>0.93103448275862077</v>
      </c>
      <c r="C10" s="1"/>
      <c r="D10" s="1"/>
      <c r="E10" s="1"/>
      <c r="G10" s="2" t="s">
        <v>23</v>
      </c>
      <c r="H10" s="2" t="s">
        <v>19</v>
      </c>
      <c r="I10" s="15">
        <f>2*I9+I5</f>
        <v>0</v>
      </c>
      <c r="J10" s="15">
        <f t="shared" ref="J10:M10" si="1">2*J9+J5</f>
        <v>-5.8</v>
      </c>
      <c r="K10" s="15">
        <f t="shared" si="1"/>
        <v>-0.4</v>
      </c>
      <c r="L10" s="15">
        <f t="shared" si="1"/>
        <v>1</v>
      </c>
      <c r="M10" s="15">
        <f t="shared" si="1"/>
        <v>-5.4</v>
      </c>
      <c r="N10" s="3" t="s">
        <v>32</v>
      </c>
    </row>
    <row r="11" spans="1:14" ht="19.95" customHeight="1" x14ac:dyDescent="0.3">
      <c r="A11" s="12" t="s">
        <v>18</v>
      </c>
      <c r="B11" s="12">
        <v>0</v>
      </c>
      <c r="C11" s="1"/>
      <c r="D11" s="1"/>
      <c r="E11" s="1"/>
      <c r="G11" s="2" t="s">
        <v>24</v>
      </c>
      <c r="H11" s="2" t="s">
        <v>28</v>
      </c>
      <c r="I11" s="8">
        <f>-3*I9+I6</f>
        <v>0</v>
      </c>
      <c r="J11" s="15">
        <f t="shared" ref="J11:M11" si="2">-3*J9+J6</f>
        <v>2.2000000000000002</v>
      </c>
      <c r="K11" s="20">
        <f t="shared" si="2"/>
        <v>0.60000000000000009</v>
      </c>
      <c r="L11" s="8">
        <f t="shared" si="2"/>
        <v>0</v>
      </c>
      <c r="M11" s="8">
        <f t="shared" si="2"/>
        <v>-8.3999999999999986</v>
      </c>
    </row>
    <row r="12" spans="1:14" ht="19.95" customHeight="1" x14ac:dyDescent="0.3">
      <c r="A12" s="12" t="s">
        <v>19</v>
      </c>
      <c r="B12" s="12">
        <v>0</v>
      </c>
      <c r="C12" s="1"/>
      <c r="D12" s="1"/>
      <c r="E12" s="1"/>
    </row>
    <row r="13" spans="1:14" ht="19.95" customHeight="1" x14ac:dyDescent="0.3">
      <c r="C13" s="1"/>
      <c r="D13" s="1"/>
      <c r="E13" s="1"/>
      <c r="G13" s="2"/>
      <c r="H13" s="2" t="s">
        <v>17</v>
      </c>
      <c r="I13" s="2" t="s">
        <v>30</v>
      </c>
      <c r="J13" s="2" t="s">
        <v>31</v>
      </c>
      <c r="K13" s="2" t="s">
        <v>18</v>
      </c>
      <c r="L13" s="2" t="s">
        <v>19</v>
      </c>
      <c r="M13" s="2" t="s">
        <v>21</v>
      </c>
    </row>
    <row r="14" spans="1:14" ht="19.95" customHeight="1" x14ac:dyDescent="0.3">
      <c r="A14" s="1"/>
      <c r="B14" s="1"/>
      <c r="C14" s="1"/>
      <c r="D14" s="1"/>
      <c r="E14" s="1"/>
      <c r="G14" s="2" t="s">
        <v>22</v>
      </c>
      <c r="H14" s="2" t="s">
        <v>30</v>
      </c>
      <c r="I14" s="8">
        <v>1</v>
      </c>
      <c r="J14" s="15">
        <v>0.6</v>
      </c>
      <c r="K14" s="8">
        <v>-0.2</v>
      </c>
      <c r="L14" s="8">
        <v>0</v>
      </c>
      <c r="M14" s="8">
        <v>2.8</v>
      </c>
    </row>
    <row r="15" spans="1:14" ht="19.95" customHeight="1" x14ac:dyDescent="0.3">
      <c r="F15" s="11"/>
      <c r="G15" s="2" t="s">
        <v>23</v>
      </c>
      <c r="H15" s="2" t="s">
        <v>31</v>
      </c>
      <c r="I15" s="15">
        <f>I10/($J$10)</f>
        <v>0</v>
      </c>
      <c r="J15" s="15">
        <f>J10/($J$10)</f>
        <v>1</v>
      </c>
      <c r="K15" s="15">
        <f t="shared" ref="K15:M15" si="3">K10/($J$10)</f>
        <v>6.8965517241379309E-2</v>
      </c>
      <c r="L15" s="15">
        <f t="shared" si="3"/>
        <v>-0.17241379310344829</v>
      </c>
      <c r="M15" s="15">
        <f t="shared" si="3"/>
        <v>0.93103448275862077</v>
      </c>
    </row>
    <row r="16" spans="1:14" ht="19.95" customHeight="1" x14ac:dyDescent="0.3">
      <c r="G16" s="2" t="s">
        <v>24</v>
      </c>
      <c r="H16" s="2" t="s">
        <v>28</v>
      </c>
      <c r="I16" s="8">
        <v>0</v>
      </c>
      <c r="J16" s="15">
        <v>2.2000000000000002</v>
      </c>
      <c r="K16" s="8">
        <v>0.60000000000000009</v>
      </c>
      <c r="L16" s="8">
        <v>0</v>
      </c>
      <c r="M16" s="8">
        <v>-8.3999999999999986</v>
      </c>
    </row>
    <row r="17" spans="7:13" ht="19.95" customHeight="1" x14ac:dyDescent="0.3"/>
    <row r="18" spans="7:13" ht="19.95" customHeight="1" x14ac:dyDescent="0.3">
      <c r="G18" s="2"/>
      <c r="H18" s="2" t="s">
        <v>17</v>
      </c>
      <c r="I18" s="2" t="s">
        <v>30</v>
      </c>
      <c r="J18" s="2" t="s">
        <v>31</v>
      </c>
      <c r="K18" s="2" t="s">
        <v>18</v>
      </c>
      <c r="L18" s="2" t="s">
        <v>19</v>
      </c>
      <c r="M18" s="2" t="s">
        <v>21</v>
      </c>
    </row>
    <row r="19" spans="7:13" ht="19.95" customHeight="1" x14ac:dyDescent="0.3">
      <c r="G19" s="2" t="s">
        <v>22</v>
      </c>
      <c r="H19" s="2" t="s">
        <v>30</v>
      </c>
      <c r="I19" s="8">
        <f>-3/5*I20+I14</f>
        <v>1</v>
      </c>
      <c r="J19" s="8">
        <f>-3/5*J20+J14</f>
        <v>0</v>
      </c>
      <c r="K19" s="8">
        <f t="shared" ref="K19:M19" si="4">-3/5*K20+K14</f>
        <v>-0.2413793103448276</v>
      </c>
      <c r="L19" s="8">
        <f t="shared" si="4"/>
        <v>0.10344827586206896</v>
      </c>
      <c r="M19" s="8">
        <f t="shared" si="4"/>
        <v>2.2413793103448274</v>
      </c>
    </row>
    <row r="20" spans="7:13" ht="19.95" customHeight="1" x14ac:dyDescent="0.3">
      <c r="G20" s="2" t="s">
        <v>23</v>
      </c>
      <c r="H20" s="2" t="s">
        <v>31</v>
      </c>
      <c r="I20" s="8">
        <v>0</v>
      </c>
      <c r="J20" s="8">
        <v>1</v>
      </c>
      <c r="K20" s="8">
        <v>6.8965517241379309E-2</v>
      </c>
      <c r="L20" s="8">
        <v>-0.17241379310344829</v>
      </c>
      <c r="M20" s="8">
        <v>0.93103448275862077</v>
      </c>
    </row>
    <row r="21" spans="7:13" ht="19.95" customHeight="1" x14ac:dyDescent="0.3">
      <c r="G21" s="2" t="s">
        <v>24</v>
      </c>
      <c r="H21" s="2" t="s">
        <v>28</v>
      </c>
      <c r="I21" s="8">
        <f>-11/5*I20+I16</f>
        <v>0</v>
      </c>
      <c r="J21" s="8">
        <f>-11/5*J20+J16</f>
        <v>0</v>
      </c>
      <c r="K21" s="8">
        <f t="shared" ref="K21:M21" si="5">-11/5*K20+K16</f>
        <v>0.44827586206896564</v>
      </c>
      <c r="L21" s="8">
        <f>-11/5*L20+L16</f>
        <v>0.37931034482758624</v>
      </c>
      <c r="M21" s="8">
        <f t="shared" si="5"/>
        <v>-10.448275862068964</v>
      </c>
    </row>
    <row r="22" spans="7:13" ht="19.95" customHeight="1" x14ac:dyDescent="0.3"/>
    <row r="23" spans="7:13" ht="19.95" customHeight="1" x14ac:dyDescent="0.3"/>
    <row r="24" spans="7:13" ht="19.95" customHeight="1" x14ac:dyDescent="0.3"/>
    <row r="25" spans="7:13" ht="19.95" customHeight="1" x14ac:dyDescent="0.3"/>
    <row r="26" spans="7:13" ht="19.95" customHeight="1" x14ac:dyDescent="0.3"/>
    <row r="27" spans="7:13" ht="19.95" customHeight="1" x14ac:dyDescent="0.3"/>
    <row r="28" spans="7:13" ht="19.95" customHeight="1" x14ac:dyDescent="0.3"/>
    <row r="29" spans="7:13" ht="19.95" customHeight="1" x14ac:dyDescent="0.3"/>
    <row r="30" spans="7:13" ht="19.95" customHeight="1" x14ac:dyDescent="0.3"/>
    <row r="31" spans="7:13" ht="19.95" customHeight="1" x14ac:dyDescent="0.3"/>
    <row r="32" spans="7:13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ht="19.95" customHeight="1" x14ac:dyDescent="0.3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A2AD-42F4-4A5D-820F-7C36EE2E74C6}">
  <dimension ref="A1:N50"/>
  <sheetViews>
    <sheetView showGridLines="0" workbookViewId="0">
      <selection activeCell="D10" sqref="D10"/>
    </sheetView>
  </sheetViews>
  <sheetFormatPr defaultRowHeight="14.4" x14ac:dyDescent="0.3"/>
  <cols>
    <col min="1" max="1" width="13.33203125" bestFit="1" customWidth="1"/>
    <col min="2" max="2" width="11.21875" bestFit="1" customWidth="1"/>
    <col min="3" max="3" width="5.21875" bestFit="1" customWidth="1"/>
    <col min="4" max="4" width="14.21875" bestFit="1" customWidth="1"/>
    <col min="5" max="5" width="16" bestFit="1" customWidth="1"/>
    <col min="7" max="13" width="10.77734375" customWidth="1"/>
  </cols>
  <sheetData>
    <row r="1" spans="1:14" ht="19.95" customHeight="1" x14ac:dyDescent="0.3">
      <c r="A1" s="3" t="s">
        <v>2</v>
      </c>
      <c r="B1" s="3" t="s">
        <v>53</v>
      </c>
      <c r="C1" s="3"/>
      <c r="D1" s="3"/>
      <c r="E1" s="3" t="s">
        <v>44</v>
      </c>
    </row>
    <row r="2" spans="1:14" ht="19.95" customHeight="1" x14ac:dyDescent="0.3">
      <c r="A2" s="3" t="s">
        <v>1</v>
      </c>
      <c r="B2" s="3" t="s">
        <v>54</v>
      </c>
      <c r="C2" s="3" t="s">
        <v>10</v>
      </c>
      <c r="D2" s="3" t="s">
        <v>57</v>
      </c>
      <c r="E2" s="3" t="s">
        <v>58</v>
      </c>
      <c r="F2" s="1"/>
      <c r="G2" t="s">
        <v>62</v>
      </c>
    </row>
    <row r="3" spans="1:14" ht="19.95" customHeight="1" x14ac:dyDescent="0.3">
      <c r="A3" s="3"/>
      <c r="B3" s="3" t="s">
        <v>55</v>
      </c>
      <c r="C3" s="3" t="s">
        <v>11</v>
      </c>
      <c r="D3" s="3" t="s">
        <v>56</v>
      </c>
      <c r="E3" s="3" t="s">
        <v>59</v>
      </c>
      <c r="F3" s="1"/>
      <c r="G3" s="8"/>
      <c r="H3" s="8" t="s">
        <v>17</v>
      </c>
      <c r="I3" s="8" t="s">
        <v>30</v>
      </c>
      <c r="J3" s="8" t="s">
        <v>31</v>
      </c>
      <c r="K3" s="8" t="s">
        <v>18</v>
      </c>
      <c r="L3" s="8" t="s">
        <v>19</v>
      </c>
      <c r="M3" s="8" t="s">
        <v>21</v>
      </c>
      <c r="N3" s="1"/>
    </row>
    <row r="4" spans="1:14" ht="19.95" customHeight="1" x14ac:dyDescent="0.3">
      <c r="A4" s="3"/>
      <c r="B4" s="3" t="s">
        <v>7</v>
      </c>
      <c r="C4" s="3"/>
      <c r="D4" s="3"/>
      <c r="E4" s="3"/>
      <c r="F4" s="1"/>
      <c r="G4" s="8" t="s">
        <v>22</v>
      </c>
      <c r="H4" s="15" t="s">
        <v>18</v>
      </c>
      <c r="I4" s="15">
        <v>-8</v>
      </c>
      <c r="J4" s="15">
        <v>-9</v>
      </c>
      <c r="K4" s="15">
        <v>1</v>
      </c>
      <c r="L4" s="15">
        <v>0</v>
      </c>
      <c r="M4" s="15">
        <v>-70</v>
      </c>
      <c r="N4" s="3" t="s">
        <v>32</v>
      </c>
    </row>
    <row r="5" spans="1:14" ht="19.95" customHeight="1" x14ac:dyDescent="0.3">
      <c r="A5" s="3"/>
      <c r="B5" s="3"/>
      <c r="C5" s="3"/>
      <c r="D5" s="3" t="s">
        <v>60</v>
      </c>
      <c r="E5" s="3"/>
      <c r="F5" s="1"/>
      <c r="G5" s="8" t="s">
        <v>23</v>
      </c>
      <c r="H5" s="8" t="s">
        <v>19</v>
      </c>
      <c r="I5" s="8">
        <v>-9</v>
      </c>
      <c r="J5" s="15">
        <v>-5</v>
      </c>
      <c r="K5" s="8">
        <v>0</v>
      </c>
      <c r="L5" s="8">
        <v>1</v>
      </c>
      <c r="M5" s="8">
        <v>-47</v>
      </c>
    </row>
    <row r="6" spans="1:14" ht="19.95" customHeight="1" x14ac:dyDescent="0.3">
      <c r="A6" s="3" t="s">
        <v>8</v>
      </c>
      <c r="B6" s="3" t="s">
        <v>61</v>
      </c>
      <c r="C6" s="3"/>
      <c r="D6" s="3"/>
      <c r="E6" s="3"/>
      <c r="F6" s="1"/>
      <c r="G6" s="8" t="s">
        <v>24</v>
      </c>
      <c r="H6" s="8" t="s">
        <v>28</v>
      </c>
      <c r="I6" s="8">
        <v>7</v>
      </c>
      <c r="J6" s="15">
        <v>6</v>
      </c>
      <c r="K6" s="8">
        <v>0</v>
      </c>
      <c r="L6" s="8">
        <v>0</v>
      </c>
      <c r="M6" s="8">
        <v>0</v>
      </c>
      <c r="N6" s="1"/>
    </row>
    <row r="7" spans="1:14" ht="19.95" customHeight="1" x14ac:dyDescent="0.3">
      <c r="A7" s="1"/>
      <c r="B7" s="1"/>
      <c r="C7" s="1"/>
      <c r="D7" s="1"/>
      <c r="E7" s="1"/>
      <c r="F7" s="1"/>
      <c r="G7" s="21"/>
      <c r="H7" s="21"/>
      <c r="I7" s="21"/>
      <c r="J7" s="21"/>
      <c r="K7" s="21"/>
      <c r="L7" s="21"/>
      <c r="M7" s="21"/>
      <c r="N7" s="1"/>
    </row>
    <row r="8" spans="1:14" ht="19.95" customHeight="1" x14ac:dyDescent="0.3">
      <c r="A8" s="12" t="s">
        <v>42</v>
      </c>
      <c r="B8" s="13">
        <f>M26*(-1)</f>
        <v>49.634146341463413</v>
      </c>
      <c r="C8" s="1"/>
      <c r="D8" s="1"/>
      <c r="E8" s="1"/>
      <c r="G8" s="8"/>
      <c r="H8" s="8" t="s">
        <v>17</v>
      </c>
      <c r="I8" s="8" t="s">
        <v>30</v>
      </c>
      <c r="J8" s="8" t="s">
        <v>31</v>
      </c>
      <c r="K8" s="8" t="s">
        <v>18</v>
      </c>
      <c r="L8" s="8" t="s">
        <v>19</v>
      </c>
      <c r="M8" s="8" t="s">
        <v>21</v>
      </c>
    </row>
    <row r="9" spans="1:14" ht="19.95" customHeight="1" x14ac:dyDescent="0.3">
      <c r="A9" s="12" t="s">
        <v>30</v>
      </c>
      <c r="B9" s="13">
        <f>M25</f>
        <v>1.7804878048780479</v>
      </c>
      <c r="C9" s="1"/>
      <c r="D9" s="1"/>
      <c r="E9" s="1"/>
      <c r="F9" s="11"/>
      <c r="G9" s="8" t="s">
        <v>22</v>
      </c>
      <c r="H9" s="15" t="s">
        <v>31</v>
      </c>
      <c r="I9" s="15">
        <f>I4/-9</f>
        <v>0.88888888888888884</v>
      </c>
      <c r="J9" s="15">
        <f t="shared" ref="J9:M9" si="0">J4/-9</f>
        <v>1</v>
      </c>
      <c r="K9" s="15">
        <f t="shared" si="0"/>
        <v>-0.1111111111111111</v>
      </c>
      <c r="L9" s="15">
        <f t="shared" si="0"/>
        <v>0</v>
      </c>
      <c r="M9" s="15">
        <f t="shared" si="0"/>
        <v>7.7777777777777777</v>
      </c>
    </row>
    <row r="10" spans="1:14" ht="19.95" customHeight="1" x14ac:dyDescent="0.3">
      <c r="A10" s="12" t="s">
        <v>31</v>
      </c>
      <c r="B10" s="13">
        <f>M24</f>
        <v>6.1951219512195133</v>
      </c>
      <c r="C10" s="1"/>
      <c r="D10" s="1"/>
      <c r="E10" s="1"/>
      <c r="G10" s="8" t="s">
        <v>23</v>
      </c>
      <c r="H10" s="8" t="s">
        <v>19</v>
      </c>
      <c r="I10" s="8">
        <v>-9</v>
      </c>
      <c r="J10" s="15">
        <v>-5</v>
      </c>
      <c r="K10" s="8">
        <v>0</v>
      </c>
      <c r="L10" s="8">
        <v>1</v>
      </c>
      <c r="M10" s="8">
        <v>-47</v>
      </c>
      <c r="N10" s="3" t="s">
        <v>32</v>
      </c>
    </row>
    <row r="11" spans="1:14" ht="19.95" customHeight="1" x14ac:dyDescent="0.3">
      <c r="A11" s="12" t="s">
        <v>18</v>
      </c>
      <c r="B11" s="12">
        <v>0</v>
      </c>
      <c r="C11" s="1"/>
      <c r="D11" s="1"/>
      <c r="E11" s="1"/>
      <c r="G11" s="8" t="s">
        <v>24</v>
      </c>
      <c r="H11" s="8" t="s">
        <v>28</v>
      </c>
      <c r="I11" s="8">
        <v>7</v>
      </c>
      <c r="J11" s="15">
        <v>6</v>
      </c>
      <c r="K11" s="8">
        <v>0</v>
      </c>
      <c r="L11" s="8">
        <v>0</v>
      </c>
      <c r="M11" s="8">
        <v>0</v>
      </c>
    </row>
    <row r="12" spans="1:14" ht="19.95" customHeight="1" x14ac:dyDescent="0.3">
      <c r="A12" s="12" t="s">
        <v>19</v>
      </c>
      <c r="B12" s="12">
        <v>0</v>
      </c>
      <c r="C12" s="1"/>
      <c r="D12" s="1"/>
      <c r="E12" s="1"/>
      <c r="G12" s="22"/>
      <c r="H12" s="22"/>
      <c r="I12" s="22"/>
      <c r="J12" s="22"/>
      <c r="K12" s="22"/>
      <c r="L12" s="22"/>
      <c r="M12" s="22"/>
    </row>
    <row r="13" spans="1:14" ht="19.95" customHeight="1" x14ac:dyDescent="0.3">
      <c r="C13" s="1"/>
      <c r="D13" s="1"/>
      <c r="E13" s="1"/>
      <c r="G13" s="8"/>
      <c r="H13" s="8" t="s">
        <v>17</v>
      </c>
      <c r="I13" s="8" t="s">
        <v>30</v>
      </c>
      <c r="J13" s="8" t="s">
        <v>31</v>
      </c>
      <c r="K13" s="8" t="s">
        <v>18</v>
      </c>
      <c r="L13" s="8" t="s">
        <v>19</v>
      </c>
      <c r="M13" s="8" t="s">
        <v>21</v>
      </c>
    </row>
    <row r="14" spans="1:14" ht="19.95" customHeight="1" x14ac:dyDescent="0.3">
      <c r="G14" s="8" t="s">
        <v>22</v>
      </c>
      <c r="H14" s="20" t="s">
        <v>31</v>
      </c>
      <c r="I14" s="15">
        <f>I4/-9</f>
        <v>0.88888888888888884</v>
      </c>
      <c r="J14" s="20">
        <f>J4/-9</f>
        <v>1</v>
      </c>
      <c r="K14" s="20">
        <f>K4/-9</f>
        <v>-0.1111111111111111</v>
      </c>
      <c r="L14" s="20">
        <f>L4/-9</f>
        <v>0</v>
      </c>
      <c r="M14" s="20">
        <f>M4/-9</f>
        <v>7.7777777777777777</v>
      </c>
    </row>
    <row r="15" spans="1:14" ht="19.95" customHeight="1" x14ac:dyDescent="0.3">
      <c r="F15" s="11"/>
      <c r="G15" s="15" t="s">
        <v>23</v>
      </c>
      <c r="H15" s="15" t="s">
        <v>19</v>
      </c>
      <c r="I15" s="15">
        <f>5*I14+I5</f>
        <v>-4.5555555555555554</v>
      </c>
      <c r="J15" s="15">
        <f>5*J14+J5</f>
        <v>0</v>
      </c>
      <c r="K15" s="15">
        <f>5*K14+K5</f>
        <v>-0.55555555555555558</v>
      </c>
      <c r="L15" s="15">
        <f>5*L14+L5</f>
        <v>1</v>
      </c>
      <c r="M15" s="15">
        <f>5*M14+M5</f>
        <v>-8.1111111111111143</v>
      </c>
    </row>
    <row r="16" spans="1:14" ht="19.95" customHeight="1" x14ac:dyDescent="0.3">
      <c r="G16" s="8" t="s">
        <v>24</v>
      </c>
      <c r="H16" s="20" t="s">
        <v>28</v>
      </c>
      <c r="I16" s="15">
        <f>-6*I14+I11</f>
        <v>1.666666666666667</v>
      </c>
      <c r="J16" s="20">
        <f>-6*J14+J11</f>
        <v>0</v>
      </c>
      <c r="K16" s="20">
        <f>-6*K14+K6</f>
        <v>0.66666666666666663</v>
      </c>
      <c r="L16" s="20">
        <f>-6*L14+L6</f>
        <v>0</v>
      </c>
      <c r="M16" s="20">
        <f>-6*M14+M6</f>
        <v>-46.666666666666664</v>
      </c>
    </row>
    <row r="17" spans="7:13" ht="19.95" customHeight="1" x14ac:dyDescent="0.3">
      <c r="G17" s="22"/>
      <c r="H17" s="22"/>
      <c r="I17" s="22"/>
      <c r="J17" s="22"/>
      <c r="K17" s="22"/>
      <c r="L17" s="22"/>
      <c r="M17" s="22"/>
    </row>
    <row r="18" spans="7:13" ht="19.95" customHeight="1" x14ac:dyDescent="0.3">
      <c r="G18" s="20"/>
      <c r="H18" s="20" t="s">
        <v>17</v>
      </c>
      <c r="I18" s="15" t="s">
        <v>30</v>
      </c>
      <c r="J18" s="20" t="s">
        <v>31</v>
      </c>
      <c r="K18" s="20" t="s">
        <v>18</v>
      </c>
      <c r="L18" s="20" t="s">
        <v>19</v>
      </c>
      <c r="M18" s="20" t="s">
        <v>21</v>
      </c>
    </row>
    <row r="19" spans="7:13" ht="19.95" customHeight="1" x14ac:dyDescent="0.3">
      <c r="G19" s="20" t="s">
        <v>22</v>
      </c>
      <c r="H19" s="20" t="s">
        <v>31</v>
      </c>
      <c r="I19" s="15">
        <f>I4/-9</f>
        <v>0.88888888888888884</v>
      </c>
      <c r="J19" s="20">
        <f>J4/-9</f>
        <v>1</v>
      </c>
      <c r="K19" s="20">
        <f>K4/-9</f>
        <v>-0.1111111111111111</v>
      </c>
      <c r="L19" s="20">
        <f>L4/-9</f>
        <v>0</v>
      </c>
      <c r="M19" s="20">
        <f>M4/-9</f>
        <v>7.7777777777777777</v>
      </c>
    </row>
    <row r="20" spans="7:13" ht="19.95" customHeight="1" x14ac:dyDescent="0.3">
      <c r="G20" s="15" t="s">
        <v>23</v>
      </c>
      <c r="H20" s="15" t="s">
        <v>30</v>
      </c>
      <c r="I20" s="15">
        <f>I15*(-9/41)</f>
        <v>1</v>
      </c>
      <c r="J20" s="15">
        <f t="shared" ref="J20:M20" si="1">J15*(-9/41)</f>
        <v>0</v>
      </c>
      <c r="K20" s="15">
        <f t="shared" si="1"/>
        <v>0.12195121951219513</v>
      </c>
      <c r="L20" s="15">
        <f t="shared" si="1"/>
        <v>-0.21951219512195122</v>
      </c>
      <c r="M20" s="15">
        <f t="shared" si="1"/>
        <v>1.7804878048780495</v>
      </c>
    </row>
    <row r="21" spans="7:13" ht="19.95" customHeight="1" x14ac:dyDescent="0.3">
      <c r="G21" s="20" t="s">
        <v>24</v>
      </c>
      <c r="H21" s="20" t="s">
        <v>28</v>
      </c>
      <c r="I21" s="15">
        <f>-6*I14+I6</f>
        <v>1.666666666666667</v>
      </c>
      <c r="J21" s="20">
        <f>-6*J14+J6</f>
        <v>0</v>
      </c>
      <c r="K21" s="20">
        <f>-6*K14+K6</f>
        <v>0.66666666666666663</v>
      </c>
      <c r="L21" s="20">
        <f>-6*L14+L6</f>
        <v>0</v>
      </c>
      <c r="M21" s="20">
        <f>-6*M14+M6</f>
        <v>-46.666666666666664</v>
      </c>
    </row>
    <row r="22" spans="7:13" ht="19.95" customHeight="1" x14ac:dyDescent="0.3">
      <c r="G22" s="22"/>
      <c r="H22" s="22"/>
      <c r="I22" s="22"/>
      <c r="J22" s="22"/>
      <c r="K22" s="22"/>
      <c r="L22" s="22"/>
      <c r="M22" s="22"/>
    </row>
    <row r="23" spans="7:13" ht="19.95" customHeight="1" x14ac:dyDescent="0.3">
      <c r="G23" s="8"/>
      <c r="H23" s="8" t="s">
        <v>17</v>
      </c>
      <c r="I23" s="8" t="s">
        <v>30</v>
      </c>
      <c r="J23" s="8" t="s">
        <v>31</v>
      </c>
      <c r="K23" s="8" t="s">
        <v>18</v>
      </c>
      <c r="L23" s="8" t="s">
        <v>19</v>
      </c>
      <c r="M23" s="8" t="s">
        <v>21</v>
      </c>
    </row>
    <row r="24" spans="7:13" ht="19.95" customHeight="1" x14ac:dyDescent="0.3">
      <c r="G24" s="8" t="s">
        <v>22</v>
      </c>
      <c r="H24" s="8" t="s">
        <v>31</v>
      </c>
      <c r="I24" s="8">
        <f>-8/9*I25+I19</f>
        <v>8.8817841970012523E-16</v>
      </c>
      <c r="J24" s="8">
        <f t="shared" ref="J24:M24" si="2">-8/9*J25+J19</f>
        <v>1</v>
      </c>
      <c r="K24" s="8">
        <f t="shared" si="2"/>
        <v>-0.21951219512195111</v>
      </c>
      <c r="L24" s="8">
        <f t="shared" si="2"/>
        <v>0.19512195121951201</v>
      </c>
      <c r="M24" s="8">
        <f t="shared" si="2"/>
        <v>6.1951219512195133</v>
      </c>
    </row>
    <row r="25" spans="7:13" ht="19.95" customHeight="1" x14ac:dyDescent="0.3">
      <c r="G25" s="8" t="s">
        <v>23</v>
      </c>
      <c r="H25" s="8" t="s">
        <v>30</v>
      </c>
      <c r="I25" s="8">
        <f>I15/(-4.55555555555556)</f>
        <v>0.999999999999999</v>
      </c>
      <c r="J25" s="8">
        <f>J15/(-4.55555555555556)</f>
        <v>0</v>
      </c>
      <c r="K25" s="8">
        <f>K15/(-4.55555555555556)</f>
        <v>0.12195121951219501</v>
      </c>
      <c r="L25" s="8">
        <f>L15/(-4.55555555555556)</f>
        <v>-0.21951219512195103</v>
      </c>
      <c r="M25" s="8">
        <f>M15/(-4.55555555555556)</f>
        <v>1.7804878048780479</v>
      </c>
    </row>
    <row r="26" spans="7:13" ht="19.95" customHeight="1" x14ac:dyDescent="0.3">
      <c r="G26" s="8" t="s">
        <v>24</v>
      </c>
      <c r="H26" s="8" t="s">
        <v>28</v>
      </c>
      <c r="I26" s="8">
        <f>-5/3*I25+I21</f>
        <v>1.7763568394002505E-15</v>
      </c>
      <c r="J26" s="8">
        <f t="shared" ref="J26:M26" si="3">-5/3*J25+J21</f>
        <v>0</v>
      </c>
      <c r="K26" s="8">
        <f t="shared" si="3"/>
        <v>0.4634146341463416</v>
      </c>
      <c r="L26" s="8">
        <f t="shared" si="3"/>
        <v>0.36585365853658508</v>
      </c>
      <c r="M26" s="8">
        <f t="shared" si="3"/>
        <v>-49.634146341463413</v>
      </c>
    </row>
    <row r="27" spans="7:13" ht="19.95" customHeight="1" x14ac:dyDescent="0.3"/>
    <row r="28" spans="7:13" ht="19.95" customHeight="1" x14ac:dyDescent="0.3"/>
    <row r="29" spans="7:13" ht="19.95" customHeight="1" x14ac:dyDescent="0.3"/>
    <row r="30" spans="7:13" ht="19.95" customHeight="1" x14ac:dyDescent="0.3"/>
    <row r="31" spans="7:13" ht="19.95" customHeight="1" x14ac:dyDescent="0.3"/>
    <row r="32" spans="7:13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ht="19.95" customHeight="1" x14ac:dyDescent="0.3"/>
    <row r="50" ht="19.95" customHeight="1" x14ac:dyDescent="0.3"/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31A3-416B-427D-A411-843F835232FE}">
  <sheetPr>
    <tabColor rgb="FFFF0000"/>
  </sheetPr>
  <dimension ref="A1:O51"/>
  <sheetViews>
    <sheetView showGridLines="0" workbookViewId="0">
      <selection activeCell="C19" sqref="C19"/>
    </sheetView>
  </sheetViews>
  <sheetFormatPr defaultRowHeight="14.4" x14ac:dyDescent="0.3"/>
  <cols>
    <col min="1" max="1" width="13.33203125" bestFit="1" customWidth="1"/>
    <col min="2" max="2" width="11.6640625" bestFit="1" customWidth="1"/>
    <col min="3" max="3" width="5.21875" bestFit="1" customWidth="1"/>
    <col min="4" max="4" width="15.21875" bestFit="1" customWidth="1"/>
    <col min="5" max="5" width="17" bestFit="1" customWidth="1"/>
    <col min="7" max="14" width="12.77734375" customWidth="1"/>
  </cols>
  <sheetData>
    <row r="1" spans="1:15" ht="19.95" customHeight="1" x14ac:dyDescent="0.3">
      <c r="A1" s="3" t="s">
        <v>2</v>
      </c>
      <c r="B1" s="3" t="s">
        <v>63</v>
      </c>
      <c r="C1" s="3"/>
      <c r="D1" s="3"/>
      <c r="E1" s="3" t="s">
        <v>44</v>
      </c>
    </row>
    <row r="2" spans="1:15" ht="19.95" customHeight="1" x14ac:dyDescent="0.3">
      <c r="A2" s="3" t="s">
        <v>1</v>
      </c>
      <c r="B2" s="3" t="s">
        <v>66</v>
      </c>
      <c r="C2" s="3" t="s">
        <v>10</v>
      </c>
      <c r="D2" s="3" t="s">
        <v>67</v>
      </c>
      <c r="E2" s="3" t="s">
        <v>68</v>
      </c>
      <c r="G2" t="s">
        <v>33</v>
      </c>
    </row>
    <row r="3" spans="1:15" ht="19.95" customHeight="1" x14ac:dyDescent="0.3">
      <c r="A3" s="3"/>
      <c r="B3" s="3" t="s">
        <v>69</v>
      </c>
      <c r="C3" s="3" t="s">
        <v>11</v>
      </c>
      <c r="D3" s="3" t="s">
        <v>71</v>
      </c>
      <c r="E3" s="3" t="s">
        <v>70</v>
      </c>
      <c r="G3" s="2"/>
      <c r="H3" s="2" t="s">
        <v>17</v>
      </c>
      <c r="I3" s="2" t="s">
        <v>30</v>
      </c>
      <c r="J3" s="2" t="s">
        <v>31</v>
      </c>
      <c r="K3" s="2" t="s">
        <v>18</v>
      </c>
      <c r="L3" s="2" t="s">
        <v>19</v>
      </c>
      <c r="M3" s="2" t="s">
        <v>20</v>
      </c>
      <c r="N3" s="2" t="s">
        <v>21</v>
      </c>
      <c r="O3" s="1"/>
    </row>
    <row r="4" spans="1:15" ht="19.95" customHeight="1" x14ac:dyDescent="0.3">
      <c r="A4" s="3"/>
      <c r="B4" s="3" t="s">
        <v>72</v>
      </c>
      <c r="C4" s="3" t="s">
        <v>12</v>
      </c>
      <c r="D4" s="3" t="s">
        <v>73</v>
      </c>
      <c r="E4" s="3" t="s">
        <v>74</v>
      </c>
      <c r="G4" s="2" t="s">
        <v>22</v>
      </c>
      <c r="H4" s="7" t="s">
        <v>18</v>
      </c>
      <c r="I4" s="7">
        <v>-10</v>
      </c>
      <c r="J4" s="10">
        <v>-2</v>
      </c>
      <c r="K4" s="7">
        <v>1</v>
      </c>
      <c r="L4" s="7">
        <v>0</v>
      </c>
      <c r="M4" s="7">
        <v>0</v>
      </c>
      <c r="N4" s="7">
        <v>-20</v>
      </c>
    </row>
    <row r="5" spans="1:15" ht="19.95" customHeight="1" x14ac:dyDescent="0.3">
      <c r="A5" s="3"/>
      <c r="B5" s="3" t="s">
        <v>7</v>
      </c>
      <c r="C5" s="3"/>
      <c r="D5" s="3"/>
      <c r="E5" s="3"/>
      <c r="G5" s="2" t="s">
        <v>23</v>
      </c>
      <c r="H5" s="7" t="s">
        <v>19</v>
      </c>
      <c r="I5" s="7">
        <v>-9</v>
      </c>
      <c r="J5" s="10">
        <v>-4</v>
      </c>
      <c r="K5" s="7">
        <v>0</v>
      </c>
      <c r="L5" s="7">
        <v>1</v>
      </c>
      <c r="M5" s="7">
        <v>0</v>
      </c>
      <c r="N5" s="7">
        <v>-32</v>
      </c>
      <c r="O5" s="1"/>
    </row>
    <row r="6" spans="1:15" ht="19.95" customHeight="1" x14ac:dyDescent="0.3">
      <c r="A6" s="3"/>
      <c r="B6" s="3"/>
      <c r="C6" s="3"/>
      <c r="D6" s="3" t="s">
        <v>64</v>
      </c>
      <c r="E6" s="3"/>
      <c r="G6" s="2" t="s">
        <v>24</v>
      </c>
      <c r="H6" s="10" t="s">
        <v>20</v>
      </c>
      <c r="I6" s="10">
        <v>-4</v>
      </c>
      <c r="J6" s="10">
        <v>-10</v>
      </c>
      <c r="K6" s="10">
        <v>0</v>
      </c>
      <c r="L6" s="10">
        <v>0</v>
      </c>
      <c r="M6" s="10">
        <v>1</v>
      </c>
      <c r="N6" s="10">
        <v>-40</v>
      </c>
      <c r="O6" s="3" t="s">
        <v>32</v>
      </c>
    </row>
    <row r="7" spans="1:15" ht="19.95" customHeight="1" x14ac:dyDescent="0.3">
      <c r="A7" s="3" t="s">
        <v>8</v>
      </c>
      <c r="B7" s="3" t="s">
        <v>65</v>
      </c>
      <c r="C7" s="3"/>
      <c r="D7" s="3"/>
      <c r="E7" s="3"/>
      <c r="G7" s="2" t="s">
        <v>25</v>
      </c>
      <c r="H7" s="7" t="s">
        <v>28</v>
      </c>
      <c r="I7" s="7">
        <v>5</v>
      </c>
      <c r="J7" s="10">
        <v>4</v>
      </c>
      <c r="K7" s="7">
        <v>0</v>
      </c>
      <c r="L7" s="7">
        <v>0</v>
      </c>
      <c r="M7" s="7">
        <v>0</v>
      </c>
      <c r="N7" s="7">
        <v>0</v>
      </c>
      <c r="O7" s="1"/>
    </row>
    <row r="8" spans="1:15" ht="19.95" customHeight="1" x14ac:dyDescent="0.3">
      <c r="A8" s="1"/>
      <c r="B8" s="1"/>
      <c r="C8" s="1"/>
      <c r="D8" s="1"/>
      <c r="E8" s="1"/>
      <c r="G8" s="1"/>
      <c r="H8" s="1"/>
      <c r="I8" s="1"/>
      <c r="J8" s="1"/>
      <c r="K8" s="1"/>
      <c r="L8" s="1"/>
      <c r="M8" s="1"/>
      <c r="N8" s="1"/>
      <c r="O8" s="1"/>
    </row>
    <row r="9" spans="1:15" ht="19.95" customHeight="1" x14ac:dyDescent="0.3">
      <c r="A9" s="12" t="s">
        <v>42</v>
      </c>
      <c r="B9" s="13">
        <f>N19*-1</f>
        <v>20.434782608695652</v>
      </c>
      <c r="C9" s="1"/>
      <c r="D9" s="1"/>
      <c r="E9" s="1"/>
      <c r="G9" s="2"/>
      <c r="H9" s="2" t="s">
        <v>17</v>
      </c>
      <c r="I9" s="2" t="s">
        <v>30</v>
      </c>
      <c r="J9" s="2" t="s">
        <v>31</v>
      </c>
      <c r="K9" s="2" t="s">
        <v>18</v>
      </c>
      <c r="L9" s="2" t="s">
        <v>19</v>
      </c>
      <c r="M9" s="2" t="s">
        <v>20</v>
      </c>
      <c r="N9" s="2" t="s">
        <v>21</v>
      </c>
      <c r="O9" s="1"/>
    </row>
    <row r="10" spans="1:15" ht="19.95" customHeight="1" x14ac:dyDescent="0.3">
      <c r="A10" s="12" t="s">
        <v>30</v>
      </c>
      <c r="B10" s="13">
        <f>N16</f>
        <v>1.3043478260869565</v>
      </c>
      <c r="C10" s="1"/>
      <c r="D10" s="1"/>
      <c r="E10" s="1"/>
      <c r="G10" s="2" t="s">
        <v>22</v>
      </c>
      <c r="H10" s="4" t="s">
        <v>18</v>
      </c>
      <c r="I10" s="10">
        <f>2*I12+I4</f>
        <v>-9.1999999999999993</v>
      </c>
      <c r="J10" s="10">
        <f>2*J12+J4</f>
        <v>0</v>
      </c>
      <c r="K10" s="10">
        <f t="shared" ref="K10:N10" si="0">2*K12+K4</f>
        <v>1</v>
      </c>
      <c r="L10" s="10">
        <f t="shared" si="0"/>
        <v>0</v>
      </c>
      <c r="M10" s="10">
        <f t="shared" si="0"/>
        <v>-0.2</v>
      </c>
      <c r="N10" s="10">
        <f t="shared" si="0"/>
        <v>-12</v>
      </c>
      <c r="O10" s="3" t="s">
        <v>32</v>
      </c>
    </row>
    <row r="11" spans="1:15" ht="19.95" customHeight="1" x14ac:dyDescent="0.3">
      <c r="A11" s="12" t="s">
        <v>31</v>
      </c>
      <c r="B11" s="13">
        <f>N18</f>
        <v>3.4782608695652173</v>
      </c>
      <c r="C11" s="1"/>
      <c r="D11" s="1"/>
      <c r="E11" s="1"/>
      <c r="G11" s="2" t="s">
        <v>23</v>
      </c>
      <c r="H11" s="2" t="s">
        <v>19</v>
      </c>
      <c r="I11" s="10">
        <f>4*I12+I5</f>
        <v>-7.4</v>
      </c>
      <c r="J11" s="7">
        <f>4*J12+J5</f>
        <v>0</v>
      </c>
      <c r="K11" s="7">
        <f t="shared" ref="K11:N11" si="1">4*K12+K5</f>
        <v>0</v>
      </c>
      <c r="L11" s="7">
        <f t="shared" si="1"/>
        <v>1</v>
      </c>
      <c r="M11" s="7">
        <f t="shared" si="1"/>
        <v>-0.4</v>
      </c>
      <c r="N11" s="7">
        <f t="shared" si="1"/>
        <v>-16</v>
      </c>
      <c r="O11" s="1"/>
    </row>
    <row r="12" spans="1:15" ht="19.95" customHeight="1" x14ac:dyDescent="0.3">
      <c r="A12" s="12" t="s">
        <v>18</v>
      </c>
      <c r="B12" s="12">
        <v>0</v>
      </c>
      <c r="C12" s="1"/>
      <c r="D12" s="1"/>
      <c r="E12" s="1"/>
      <c r="G12" s="2" t="s">
        <v>24</v>
      </c>
      <c r="H12" s="2" t="s">
        <v>31</v>
      </c>
      <c r="I12" s="10">
        <f>I6/-10</f>
        <v>0.4</v>
      </c>
      <c r="J12" s="7">
        <f>J6/-10</f>
        <v>1</v>
      </c>
      <c r="K12" s="7">
        <f t="shared" ref="K12:N12" si="2">K6/-10</f>
        <v>0</v>
      </c>
      <c r="L12" s="7">
        <f t="shared" si="2"/>
        <v>0</v>
      </c>
      <c r="M12" s="7">
        <f t="shared" si="2"/>
        <v>-0.1</v>
      </c>
      <c r="N12" s="7">
        <f t="shared" si="2"/>
        <v>4</v>
      </c>
      <c r="O12" s="1"/>
    </row>
    <row r="13" spans="1:15" ht="19.95" customHeight="1" x14ac:dyDescent="0.3">
      <c r="A13" s="12" t="s">
        <v>19</v>
      </c>
      <c r="B13" s="23">
        <v>0</v>
      </c>
      <c r="C13" s="1"/>
      <c r="D13" s="1"/>
      <c r="E13" s="1"/>
      <c r="G13" s="2" t="s">
        <v>25</v>
      </c>
      <c r="H13" s="2" t="s">
        <v>28</v>
      </c>
      <c r="I13" s="10">
        <f>-4*I12+I7</f>
        <v>3.4</v>
      </c>
      <c r="J13" s="7">
        <f>-4*J12+J7</f>
        <v>0</v>
      </c>
      <c r="K13" s="7">
        <f t="shared" ref="K13:N13" si="3">-4*K12+K7</f>
        <v>0</v>
      </c>
      <c r="L13" s="7">
        <f t="shared" si="3"/>
        <v>0</v>
      </c>
      <c r="M13" s="7">
        <f t="shared" si="3"/>
        <v>0.4</v>
      </c>
      <c r="N13" s="7">
        <f t="shared" si="3"/>
        <v>-16</v>
      </c>
      <c r="O13" s="1"/>
    </row>
    <row r="14" spans="1:15" ht="19.95" customHeight="1" x14ac:dyDescent="0.3">
      <c r="A14" s="12" t="s">
        <v>20</v>
      </c>
      <c r="B14" s="12">
        <v>0</v>
      </c>
      <c r="G14" s="1"/>
      <c r="H14" s="1"/>
      <c r="I14" s="1"/>
      <c r="J14" s="1"/>
      <c r="K14" s="1"/>
      <c r="L14" s="1"/>
      <c r="M14" s="1"/>
      <c r="N14" s="1"/>
      <c r="O14" s="1"/>
    </row>
    <row r="15" spans="1:15" ht="19.95" customHeight="1" x14ac:dyDescent="0.3">
      <c r="G15" s="2"/>
      <c r="H15" s="2" t="s">
        <v>17</v>
      </c>
      <c r="I15" s="2" t="s">
        <v>30</v>
      </c>
      <c r="J15" s="2" t="s">
        <v>31</v>
      </c>
      <c r="K15" s="2" t="s">
        <v>18</v>
      </c>
      <c r="L15" s="2" t="s">
        <v>19</v>
      </c>
      <c r="M15" s="2" t="s">
        <v>20</v>
      </c>
      <c r="N15" s="2" t="s">
        <v>21</v>
      </c>
      <c r="O15" s="1"/>
    </row>
    <row r="16" spans="1:15" ht="19.95" customHeight="1" x14ac:dyDescent="0.3">
      <c r="G16" s="2" t="s">
        <v>22</v>
      </c>
      <c r="H16" s="2" t="s">
        <v>30</v>
      </c>
      <c r="I16" s="7">
        <f>I10/(-46/5)</f>
        <v>1</v>
      </c>
      <c r="J16" s="7">
        <f t="shared" ref="J16:N16" si="4">J10/(-46/5)</f>
        <v>0</v>
      </c>
      <c r="K16" s="7">
        <f t="shared" si="4"/>
        <v>-0.10869565217391305</v>
      </c>
      <c r="L16" s="7">
        <f t="shared" si="4"/>
        <v>0</v>
      </c>
      <c r="M16" s="7">
        <f t="shared" si="4"/>
        <v>2.1739130434782612E-2</v>
      </c>
      <c r="N16" s="7">
        <f t="shared" si="4"/>
        <v>1.3043478260869565</v>
      </c>
      <c r="O16" s="1"/>
    </row>
    <row r="17" spans="7:15" ht="19.95" customHeight="1" x14ac:dyDescent="0.3">
      <c r="G17" s="2" t="s">
        <v>23</v>
      </c>
      <c r="H17" s="7" t="s">
        <v>19</v>
      </c>
      <c r="I17" s="7">
        <f>(37/5)*I16+I11</f>
        <v>0</v>
      </c>
      <c r="J17" s="7">
        <f t="shared" ref="J17:N17" si="5">(37/5)*J16+J11</f>
        <v>0</v>
      </c>
      <c r="K17" s="7">
        <f t="shared" si="5"/>
        <v>-0.80434782608695665</v>
      </c>
      <c r="L17" s="7">
        <f t="shared" si="5"/>
        <v>1</v>
      </c>
      <c r="M17" s="7">
        <f t="shared" si="5"/>
        <v>-0.23913043478260868</v>
      </c>
      <c r="N17" s="7">
        <f t="shared" si="5"/>
        <v>-6.3478260869565215</v>
      </c>
      <c r="O17" s="1"/>
    </row>
    <row r="18" spans="7:15" ht="19.95" customHeight="1" x14ac:dyDescent="0.3">
      <c r="G18" s="2" t="s">
        <v>24</v>
      </c>
      <c r="H18" s="2" t="s">
        <v>31</v>
      </c>
      <c r="I18" s="7">
        <f>(-2/5)*I16+I12</f>
        <v>0</v>
      </c>
      <c r="J18" s="7">
        <f t="shared" ref="J18:N18" si="6">(-2/5)*J16+J12</f>
        <v>1</v>
      </c>
      <c r="K18" s="7">
        <f t="shared" si="6"/>
        <v>4.3478260869565223E-2</v>
      </c>
      <c r="L18" s="7">
        <f t="shared" si="6"/>
        <v>0</v>
      </c>
      <c r="M18" s="7">
        <f t="shared" si="6"/>
        <v>-0.10869565217391305</v>
      </c>
      <c r="N18" s="7">
        <f t="shared" si="6"/>
        <v>3.4782608695652173</v>
      </c>
      <c r="O18" s="1"/>
    </row>
    <row r="19" spans="7:15" ht="19.95" customHeight="1" x14ac:dyDescent="0.3">
      <c r="G19" s="2" t="s">
        <v>25</v>
      </c>
      <c r="H19" s="2" t="s">
        <v>28</v>
      </c>
      <c r="I19" s="7">
        <f>(-17/5)*I16+I13</f>
        <v>0</v>
      </c>
      <c r="J19" s="7">
        <f t="shared" ref="J19:N19" si="7">(-17/5)*J16+J13</f>
        <v>0</v>
      </c>
      <c r="K19" s="7">
        <f t="shared" si="7"/>
        <v>0.36956521739130438</v>
      </c>
      <c r="L19" s="7">
        <f t="shared" si="7"/>
        <v>0</v>
      </c>
      <c r="M19" s="7">
        <f t="shared" si="7"/>
        <v>0.32608695652173914</v>
      </c>
      <c r="N19" s="7">
        <f t="shared" si="7"/>
        <v>-20.434782608695652</v>
      </c>
      <c r="O19" s="1"/>
    </row>
    <row r="20" spans="7:15" ht="19.95" customHeight="1" x14ac:dyDescent="0.3">
      <c r="O20" s="1"/>
    </row>
    <row r="21" spans="7:15" ht="19.95" customHeight="1" x14ac:dyDescent="0.3">
      <c r="I21" s="16"/>
      <c r="J21" s="16"/>
      <c r="K21" s="16"/>
      <c r="L21" s="16"/>
      <c r="M21" s="16"/>
      <c r="N21" s="16"/>
    </row>
    <row r="22" spans="7:15" ht="19.95" customHeight="1" x14ac:dyDescent="0.3"/>
    <row r="23" spans="7:15" ht="19.95" customHeight="1" x14ac:dyDescent="0.3"/>
    <row r="24" spans="7:15" ht="19.95" customHeight="1" x14ac:dyDescent="0.3"/>
    <row r="25" spans="7:15" ht="19.95" customHeight="1" x14ac:dyDescent="0.3"/>
    <row r="26" spans="7:15" ht="19.95" customHeight="1" x14ac:dyDescent="0.3"/>
    <row r="27" spans="7:15" ht="19.95" customHeight="1" x14ac:dyDescent="0.3"/>
    <row r="28" spans="7:15" ht="19.95" customHeight="1" x14ac:dyDescent="0.3"/>
    <row r="29" spans="7:15" ht="19.95" customHeight="1" x14ac:dyDescent="0.3"/>
    <row r="30" spans="7:15" ht="19.95" customHeight="1" x14ac:dyDescent="0.3"/>
    <row r="31" spans="7:15" ht="19.95" customHeight="1" x14ac:dyDescent="0.3"/>
    <row r="32" spans="7:15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ht="19.95" customHeight="1" x14ac:dyDescent="0.3"/>
    <row r="50" ht="19.95" customHeight="1" x14ac:dyDescent="0.3"/>
    <row r="51" ht="19.95" customHeight="1" x14ac:dyDescent="0.3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99EC-FA67-4D00-9269-EA2DBBDEDF55}">
  <dimension ref="A1:N48"/>
  <sheetViews>
    <sheetView showGridLines="0" workbookViewId="0">
      <selection activeCell="E10" sqref="E10"/>
    </sheetView>
  </sheetViews>
  <sheetFormatPr defaultRowHeight="14.4" x14ac:dyDescent="0.3"/>
  <cols>
    <col min="1" max="1" width="13.33203125" bestFit="1" customWidth="1"/>
    <col min="2" max="2" width="11.6640625" bestFit="1" customWidth="1"/>
    <col min="3" max="3" width="5.21875" bestFit="1" customWidth="1"/>
    <col min="4" max="4" width="15.21875" bestFit="1" customWidth="1"/>
    <col min="5" max="5" width="17" bestFit="1" customWidth="1"/>
    <col min="7" max="13" width="12.77734375" customWidth="1"/>
  </cols>
  <sheetData>
    <row r="1" spans="1:14" ht="19.95" customHeight="1" x14ac:dyDescent="0.3">
      <c r="A1" s="3" t="s">
        <v>2</v>
      </c>
      <c r="B1" s="3" t="s">
        <v>75</v>
      </c>
      <c r="C1" s="3"/>
      <c r="D1" s="3"/>
      <c r="E1" s="3" t="s">
        <v>44</v>
      </c>
    </row>
    <row r="2" spans="1:14" ht="19.95" customHeight="1" x14ac:dyDescent="0.3">
      <c r="A2" s="3" t="s">
        <v>1</v>
      </c>
      <c r="B2" s="3" t="s">
        <v>78</v>
      </c>
      <c r="C2" s="3" t="s">
        <v>10</v>
      </c>
      <c r="D2" s="3" t="s">
        <v>80</v>
      </c>
      <c r="E2" s="3" t="s">
        <v>82</v>
      </c>
      <c r="G2" t="s">
        <v>62</v>
      </c>
    </row>
    <row r="3" spans="1:14" ht="19.95" customHeight="1" x14ac:dyDescent="0.3">
      <c r="A3" s="3"/>
      <c r="B3" s="3" t="s">
        <v>79</v>
      </c>
      <c r="C3" s="3" t="s">
        <v>11</v>
      </c>
      <c r="D3" s="3" t="s">
        <v>81</v>
      </c>
      <c r="E3" s="3" t="s">
        <v>83</v>
      </c>
      <c r="G3" s="2"/>
      <c r="H3" s="2" t="s">
        <v>17</v>
      </c>
      <c r="I3" s="2" t="s">
        <v>30</v>
      </c>
      <c r="J3" s="2" t="s">
        <v>31</v>
      </c>
      <c r="K3" s="2" t="s">
        <v>18</v>
      </c>
      <c r="L3" s="2" t="s">
        <v>19</v>
      </c>
      <c r="M3" s="2" t="s">
        <v>21</v>
      </c>
      <c r="N3" s="1"/>
    </row>
    <row r="4" spans="1:14" ht="19.95" customHeight="1" x14ac:dyDescent="0.3">
      <c r="A4" s="3"/>
      <c r="B4" s="3" t="s">
        <v>7</v>
      </c>
      <c r="C4" s="3"/>
      <c r="D4" s="3"/>
      <c r="E4" s="3"/>
      <c r="G4" s="2" t="s">
        <v>22</v>
      </c>
      <c r="H4" s="7" t="s">
        <v>18</v>
      </c>
      <c r="I4" s="9">
        <v>-1</v>
      </c>
      <c r="J4" s="5">
        <v>-1</v>
      </c>
      <c r="K4" s="5">
        <v>1</v>
      </c>
      <c r="L4" s="5">
        <v>0</v>
      </c>
      <c r="M4" s="5">
        <v>-4</v>
      </c>
    </row>
    <row r="5" spans="1:14" ht="19.95" customHeight="1" x14ac:dyDescent="0.3">
      <c r="A5" s="3"/>
      <c r="B5" s="3"/>
      <c r="C5" s="3"/>
      <c r="D5" s="3" t="s">
        <v>76</v>
      </c>
      <c r="E5" s="3"/>
      <c r="G5" s="2" t="s">
        <v>23</v>
      </c>
      <c r="H5" s="10" t="s">
        <v>19</v>
      </c>
      <c r="I5" s="9">
        <v>-5</v>
      </c>
      <c r="J5" s="9">
        <v>-2</v>
      </c>
      <c r="K5" s="9">
        <v>0</v>
      </c>
      <c r="L5" s="9">
        <v>1</v>
      </c>
      <c r="M5" s="9">
        <v>-10</v>
      </c>
      <c r="N5" s="3" t="s">
        <v>32</v>
      </c>
    </row>
    <row r="6" spans="1:14" ht="19.95" customHeight="1" x14ac:dyDescent="0.3">
      <c r="A6" s="3" t="s">
        <v>8</v>
      </c>
      <c r="B6" s="3" t="s">
        <v>77</v>
      </c>
      <c r="C6" s="3"/>
      <c r="D6" s="3"/>
      <c r="E6" s="3"/>
      <c r="G6" s="2" t="s">
        <v>24</v>
      </c>
      <c r="H6" s="7" t="s">
        <v>28</v>
      </c>
      <c r="I6" s="9">
        <v>7</v>
      </c>
      <c r="J6" s="5">
        <v>5</v>
      </c>
      <c r="K6" s="5">
        <v>0</v>
      </c>
      <c r="L6" s="5">
        <v>0</v>
      </c>
      <c r="M6" s="5">
        <v>0</v>
      </c>
      <c r="N6" s="1"/>
    </row>
    <row r="7" spans="1:14" ht="19.95" customHeight="1" x14ac:dyDescent="0.3">
      <c r="A7" s="3"/>
      <c r="B7" s="3"/>
      <c r="C7" s="3"/>
      <c r="D7" s="3"/>
      <c r="E7" s="3"/>
      <c r="G7" s="14"/>
      <c r="H7" s="17"/>
      <c r="I7" s="17"/>
      <c r="J7" s="17"/>
      <c r="K7" s="17"/>
      <c r="L7" s="17"/>
      <c r="M7" s="17"/>
      <c r="N7" s="1"/>
    </row>
    <row r="8" spans="1:14" ht="19.95" customHeight="1" x14ac:dyDescent="0.3">
      <c r="A8" s="12" t="s">
        <v>42</v>
      </c>
      <c r="B8" s="13">
        <f>M16*-1</f>
        <v>21.333333333333336</v>
      </c>
      <c r="C8" s="1"/>
      <c r="D8" s="1"/>
      <c r="E8" s="1"/>
      <c r="G8" s="2"/>
      <c r="H8" s="2" t="s">
        <v>17</v>
      </c>
      <c r="I8" s="2" t="s">
        <v>30</v>
      </c>
      <c r="J8" s="2" t="s">
        <v>31</v>
      </c>
      <c r="K8" s="2" t="s">
        <v>18</v>
      </c>
      <c r="L8" s="2" t="s">
        <v>19</v>
      </c>
      <c r="M8" s="2" t="s">
        <v>21</v>
      </c>
      <c r="N8" s="1"/>
    </row>
    <row r="9" spans="1:14" ht="19.95" customHeight="1" x14ac:dyDescent="0.3">
      <c r="A9" s="12" t="s">
        <v>30</v>
      </c>
      <c r="B9" s="13">
        <f>M15</f>
        <v>0.66666666666666652</v>
      </c>
      <c r="C9" s="1"/>
      <c r="D9" s="1"/>
      <c r="E9" s="1"/>
      <c r="G9" s="2" t="s">
        <v>22</v>
      </c>
      <c r="H9" s="10" t="s">
        <v>18</v>
      </c>
      <c r="I9" s="10">
        <f>1*I10+I4</f>
        <v>0</v>
      </c>
      <c r="J9" s="10">
        <f t="shared" ref="J9:M9" si="0">1*J10+J4</f>
        <v>-0.6</v>
      </c>
      <c r="K9" s="10">
        <f t="shared" si="0"/>
        <v>1</v>
      </c>
      <c r="L9" s="10">
        <f t="shared" si="0"/>
        <v>-0.2</v>
      </c>
      <c r="M9" s="10">
        <f t="shared" si="0"/>
        <v>-2</v>
      </c>
      <c r="N9" s="3" t="s">
        <v>32</v>
      </c>
    </row>
    <row r="10" spans="1:14" ht="19.95" customHeight="1" x14ac:dyDescent="0.3">
      <c r="A10" s="12" t="s">
        <v>31</v>
      </c>
      <c r="B10" s="13">
        <f>M14</f>
        <v>3.3333333333333335</v>
      </c>
      <c r="C10" s="1"/>
      <c r="D10" s="1"/>
      <c r="E10" s="1"/>
      <c r="G10" s="2" t="s">
        <v>23</v>
      </c>
      <c r="H10" s="7" t="s">
        <v>30</v>
      </c>
      <c r="I10" s="7">
        <f>I5/-5</f>
        <v>1</v>
      </c>
      <c r="J10" s="10">
        <f t="shared" ref="J10:M10" si="1">J5/-5</f>
        <v>0.4</v>
      </c>
      <c r="K10" s="7">
        <f t="shared" si="1"/>
        <v>0</v>
      </c>
      <c r="L10" s="7">
        <f t="shared" si="1"/>
        <v>-0.2</v>
      </c>
      <c r="M10" s="7">
        <f t="shared" si="1"/>
        <v>2</v>
      </c>
      <c r="N10" s="1"/>
    </row>
    <row r="11" spans="1:14" ht="19.95" customHeight="1" x14ac:dyDescent="0.3">
      <c r="A11" s="12" t="s">
        <v>18</v>
      </c>
      <c r="B11" s="12">
        <v>0</v>
      </c>
      <c r="C11" s="1"/>
      <c r="D11" s="1"/>
      <c r="E11" s="1"/>
      <c r="G11" s="2" t="s">
        <v>24</v>
      </c>
      <c r="H11" s="7" t="s">
        <v>28</v>
      </c>
      <c r="I11" s="7">
        <f>-7*I10+I6</f>
        <v>0</v>
      </c>
      <c r="J11" s="10">
        <f t="shared" ref="J11:M11" si="2">-7*J10+J6</f>
        <v>2.1999999999999997</v>
      </c>
      <c r="K11" s="7">
        <f t="shared" si="2"/>
        <v>0</v>
      </c>
      <c r="L11" s="7">
        <f t="shared" si="2"/>
        <v>1.4000000000000001</v>
      </c>
      <c r="M11" s="7">
        <f t="shared" si="2"/>
        <v>-14</v>
      </c>
      <c r="N11" s="1"/>
    </row>
    <row r="12" spans="1:14" ht="19.95" customHeight="1" x14ac:dyDescent="0.3">
      <c r="A12" s="12" t="s">
        <v>19</v>
      </c>
      <c r="B12" s="12">
        <v>0</v>
      </c>
      <c r="C12" s="1"/>
      <c r="D12" s="1"/>
      <c r="E12" s="1"/>
      <c r="N12" s="1"/>
    </row>
    <row r="13" spans="1:14" ht="19.95" customHeight="1" x14ac:dyDescent="0.3">
      <c r="G13" s="2"/>
      <c r="H13" s="2" t="s">
        <v>17</v>
      </c>
      <c r="I13" s="2" t="s">
        <v>30</v>
      </c>
      <c r="J13" s="2" t="s">
        <v>31</v>
      </c>
      <c r="K13" s="2" t="s">
        <v>18</v>
      </c>
      <c r="L13" s="2" t="s">
        <v>19</v>
      </c>
      <c r="M13" s="2" t="s">
        <v>21</v>
      </c>
      <c r="N13" s="1"/>
    </row>
    <row r="14" spans="1:14" ht="19.95" customHeight="1" x14ac:dyDescent="0.3">
      <c r="G14" s="2" t="s">
        <v>22</v>
      </c>
      <c r="H14" s="7" t="s">
        <v>31</v>
      </c>
      <c r="I14" s="7">
        <f>I9/(-3/5)</f>
        <v>0</v>
      </c>
      <c r="J14" s="7">
        <f>J9/(-3/5)</f>
        <v>1</v>
      </c>
      <c r="K14" s="7">
        <f t="shared" ref="K14:M14" si="3">K9/(-3/5)</f>
        <v>-1.6666666666666667</v>
      </c>
      <c r="L14" s="7">
        <f t="shared" si="3"/>
        <v>0.33333333333333337</v>
      </c>
      <c r="M14" s="7">
        <f t="shared" si="3"/>
        <v>3.3333333333333335</v>
      </c>
      <c r="N14" s="1"/>
    </row>
    <row r="15" spans="1:14" ht="19.95" customHeight="1" x14ac:dyDescent="0.3">
      <c r="G15" s="2" t="s">
        <v>23</v>
      </c>
      <c r="H15" s="7" t="s">
        <v>30</v>
      </c>
      <c r="I15" s="7">
        <f>-2/5*I14+I10</f>
        <v>1</v>
      </c>
      <c r="J15" s="7">
        <f>-2/5*J14+J10</f>
        <v>0</v>
      </c>
      <c r="K15" s="7">
        <f t="shared" ref="K15:M15" si="4">-2/5*K14+K10</f>
        <v>0.66666666666666674</v>
      </c>
      <c r="L15" s="7">
        <f t="shared" si="4"/>
        <v>-0.33333333333333337</v>
      </c>
      <c r="M15" s="7">
        <f t="shared" si="4"/>
        <v>0.66666666666666652</v>
      </c>
      <c r="N15" s="1"/>
    </row>
    <row r="16" spans="1:14" ht="19.95" customHeight="1" x14ac:dyDescent="0.3">
      <c r="G16" s="2" t="s">
        <v>24</v>
      </c>
      <c r="H16" s="7" t="s">
        <v>28</v>
      </c>
      <c r="I16" s="7">
        <f>-2.2*I14+I11</f>
        <v>0</v>
      </c>
      <c r="J16" s="7">
        <f>-2.2*J14+J11</f>
        <v>0</v>
      </c>
      <c r="K16" s="7">
        <f t="shared" ref="K16:M16" si="5">-2.2*K14+K11</f>
        <v>3.666666666666667</v>
      </c>
      <c r="L16" s="7">
        <f t="shared" si="5"/>
        <v>0.66666666666666663</v>
      </c>
      <c r="M16" s="7">
        <f t="shared" si="5"/>
        <v>-21.333333333333336</v>
      </c>
      <c r="N16" s="1"/>
    </row>
    <row r="17" spans="9:14" ht="19.95" customHeight="1" x14ac:dyDescent="0.3">
      <c r="N17" s="1"/>
    </row>
    <row r="18" spans="9:14" ht="19.95" customHeight="1" x14ac:dyDescent="0.3">
      <c r="I18" s="18"/>
      <c r="J18" s="18"/>
      <c r="K18" s="18"/>
      <c r="L18" s="18"/>
      <c r="M18" s="18"/>
      <c r="N18" s="1"/>
    </row>
    <row r="19" spans="9:14" ht="19.95" customHeight="1" x14ac:dyDescent="0.3">
      <c r="N19" s="1"/>
    </row>
    <row r="20" spans="9:14" ht="19.95" customHeight="1" x14ac:dyDescent="0.3">
      <c r="N20" s="1"/>
    </row>
    <row r="21" spans="9:14" ht="19.95" customHeight="1" x14ac:dyDescent="0.3"/>
    <row r="22" spans="9:14" ht="19.95" customHeight="1" x14ac:dyDescent="0.3"/>
    <row r="23" spans="9:14" ht="19.95" customHeight="1" x14ac:dyDescent="0.3"/>
    <row r="24" spans="9:14" ht="19.95" customHeight="1" x14ac:dyDescent="0.3"/>
    <row r="25" spans="9:14" ht="19.95" customHeight="1" x14ac:dyDescent="0.3"/>
    <row r="26" spans="9:14" ht="19.95" customHeight="1" x14ac:dyDescent="0.3"/>
    <row r="27" spans="9:14" ht="19.95" customHeight="1" x14ac:dyDescent="0.3"/>
    <row r="28" spans="9:14" ht="19.95" customHeight="1" x14ac:dyDescent="0.3"/>
    <row r="29" spans="9:14" ht="19.95" customHeight="1" x14ac:dyDescent="0.3"/>
    <row r="30" spans="9:14" ht="19.95" customHeight="1" x14ac:dyDescent="0.3"/>
    <row r="31" spans="9:14" ht="19.95" customHeight="1" x14ac:dyDescent="0.3"/>
    <row r="32" spans="9:14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9A5B-3817-4759-B372-9EB57A6F45B8}">
  <sheetPr>
    <tabColor rgb="FFFF0000"/>
  </sheetPr>
  <dimension ref="A1:O51"/>
  <sheetViews>
    <sheetView showGridLines="0" zoomScale="85" zoomScaleNormal="85" workbookViewId="0">
      <selection activeCell="C23" sqref="C23"/>
    </sheetView>
  </sheetViews>
  <sheetFormatPr defaultRowHeight="14.4" x14ac:dyDescent="0.3"/>
  <cols>
    <col min="1" max="1" width="13.33203125" bestFit="1" customWidth="1"/>
    <col min="2" max="2" width="11.6640625" bestFit="1" customWidth="1"/>
    <col min="3" max="3" width="5.21875" bestFit="1" customWidth="1"/>
    <col min="4" max="4" width="15.21875" bestFit="1" customWidth="1"/>
    <col min="5" max="5" width="16.5546875" bestFit="1" customWidth="1"/>
    <col min="7" max="14" width="12.77734375" customWidth="1"/>
  </cols>
  <sheetData>
    <row r="1" spans="1:15" ht="19.95" customHeight="1" x14ac:dyDescent="0.3">
      <c r="A1" s="3" t="s">
        <v>2</v>
      </c>
      <c r="B1" s="3" t="s">
        <v>84</v>
      </c>
      <c r="C1" s="3"/>
      <c r="D1" s="3"/>
      <c r="E1" s="3" t="s">
        <v>44</v>
      </c>
    </row>
    <row r="2" spans="1:15" ht="19.95" customHeight="1" x14ac:dyDescent="0.3">
      <c r="A2" s="3" t="s">
        <v>1</v>
      </c>
      <c r="B2" s="3" t="s">
        <v>66</v>
      </c>
      <c r="C2" s="3" t="s">
        <v>10</v>
      </c>
      <c r="D2" s="3" t="s">
        <v>67</v>
      </c>
      <c r="E2" s="3" t="s">
        <v>87</v>
      </c>
      <c r="G2" t="s">
        <v>33</v>
      </c>
    </row>
    <row r="3" spans="1:15" ht="19.95" customHeight="1" x14ac:dyDescent="0.3">
      <c r="A3" s="3"/>
      <c r="B3" s="3" t="s">
        <v>69</v>
      </c>
      <c r="C3" s="3" t="s">
        <v>11</v>
      </c>
      <c r="D3" s="3" t="s">
        <v>71</v>
      </c>
      <c r="E3" s="3" t="s">
        <v>88</v>
      </c>
      <c r="G3" s="2"/>
      <c r="H3" s="2" t="s">
        <v>17</v>
      </c>
      <c r="I3" s="2" t="s">
        <v>30</v>
      </c>
      <c r="J3" s="2" t="s">
        <v>31</v>
      </c>
      <c r="K3" s="2" t="s">
        <v>18</v>
      </c>
      <c r="L3" s="2" t="s">
        <v>19</v>
      </c>
      <c r="M3" s="2" t="s">
        <v>20</v>
      </c>
      <c r="N3" s="2" t="s">
        <v>21</v>
      </c>
      <c r="O3" s="1"/>
    </row>
    <row r="4" spans="1:15" ht="19.95" customHeight="1" x14ac:dyDescent="0.3">
      <c r="A4" s="3"/>
      <c r="B4" s="3" t="s">
        <v>72</v>
      </c>
      <c r="C4" s="3" t="s">
        <v>12</v>
      </c>
      <c r="D4" s="3" t="s">
        <v>73</v>
      </c>
      <c r="E4" s="3" t="s">
        <v>89</v>
      </c>
      <c r="G4" s="2" t="s">
        <v>22</v>
      </c>
      <c r="H4" s="7" t="s">
        <v>18</v>
      </c>
      <c r="I4" s="7">
        <v>-10</v>
      </c>
      <c r="J4" s="10">
        <v>-2</v>
      </c>
      <c r="K4" s="7">
        <v>1</v>
      </c>
      <c r="L4" s="7">
        <v>0</v>
      </c>
      <c r="M4" s="7">
        <v>0</v>
      </c>
      <c r="N4" s="7">
        <v>-20</v>
      </c>
    </row>
    <row r="5" spans="1:15" ht="19.95" customHeight="1" x14ac:dyDescent="0.3">
      <c r="A5" s="3"/>
      <c r="B5" s="3" t="s">
        <v>7</v>
      </c>
      <c r="C5" s="3"/>
      <c r="D5" s="3"/>
      <c r="E5" s="3"/>
      <c r="G5" s="2" t="s">
        <v>23</v>
      </c>
      <c r="H5" s="7" t="s">
        <v>19</v>
      </c>
      <c r="I5" s="7">
        <v>-8</v>
      </c>
      <c r="J5" s="10">
        <v>-4</v>
      </c>
      <c r="K5" s="7">
        <v>0</v>
      </c>
      <c r="L5" s="7">
        <v>1</v>
      </c>
      <c r="M5" s="7">
        <v>0</v>
      </c>
      <c r="N5" s="7">
        <v>-32</v>
      </c>
      <c r="O5" s="1"/>
    </row>
    <row r="6" spans="1:15" ht="19.95" customHeight="1" x14ac:dyDescent="0.3">
      <c r="A6" s="3"/>
      <c r="B6" s="3"/>
      <c r="C6" s="3"/>
      <c r="D6" s="3" t="s">
        <v>85</v>
      </c>
      <c r="E6" s="3"/>
      <c r="G6" s="2" t="s">
        <v>24</v>
      </c>
      <c r="H6" s="10" t="s">
        <v>20</v>
      </c>
      <c r="I6" s="10">
        <v>-4</v>
      </c>
      <c r="J6" s="10">
        <v>-10</v>
      </c>
      <c r="K6" s="10">
        <v>0</v>
      </c>
      <c r="L6" s="10">
        <v>0</v>
      </c>
      <c r="M6" s="10">
        <v>1</v>
      </c>
      <c r="N6" s="10">
        <v>-40</v>
      </c>
      <c r="O6" s="3" t="s">
        <v>32</v>
      </c>
    </row>
    <row r="7" spans="1:15" ht="19.95" customHeight="1" x14ac:dyDescent="0.3">
      <c r="A7" s="3" t="s">
        <v>8</v>
      </c>
      <c r="B7" s="3" t="s">
        <v>86</v>
      </c>
      <c r="C7" s="3"/>
      <c r="D7" s="3"/>
      <c r="E7" s="3"/>
      <c r="G7" s="2" t="s">
        <v>25</v>
      </c>
      <c r="H7" s="7" t="s">
        <v>28</v>
      </c>
      <c r="I7" s="7">
        <v>4</v>
      </c>
      <c r="J7" s="10">
        <v>5</v>
      </c>
      <c r="K7" s="7">
        <v>0</v>
      </c>
      <c r="L7" s="7">
        <v>0</v>
      </c>
      <c r="M7" s="7">
        <v>0</v>
      </c>
      <c r="N7" s="7">
        <v>0</v>
      </c>
      <c r="O7" s="1"/>
    </row>
    <row r="8" spans="1:15" ht="19.95" customHeight="1" x14ac:dyDescent="0.3">
      <c r="A8" s="1"/>
      <c r="B8" s="1"/>
      <c r="C8" s="1"/>
      <c r="D8" s="1"/>
      <c r="E8" s="1"/>
      <c r="G8" s="1"/>
      <c r="H8" s="1"/>
      <c r="I8" s="1"/>
      <c r="J8" s="1"/>
      <c r="K8" s="1"/>
      <c r="L8" s="1"/>
      <c r="M8" s="1"/>
      <c r="N8" s="1"/>
      <c r="O8" s="1"/>
    </row>
    <row r="9" spans="1:15" ht="19.95" customHeight="1" x14ac:dyDescent="0.3">
      <c r="A9" s="12" t="s">
        <v>42</v>
      </c>
      <c r="B9" s="13">
        <f>N19*-1</f>
        <v>25</v>
      </c>
      <c r="C9" s="1"/>
      <c r="D9" s="1"/>
      <c r="E9" s="1"/>
      <c r="G9" s="2"/>
      <c r="H9" s="2" t="s">
        <v>17</v>
      </c>
      <c r="I9" s="2" t="s">
        <v>30</v>
      </c>
      <c r="J9" s="2" t="s">
        <v>31</v>
      </c>
      <c r="K9" s="2" t="s">
        <v>18</v>
      </c>
      <c r="L9" s="2" t="s">
        <v>19</v>
      </c>
      <c r="M9" s="2" t="s">
        <v>20</v>
      </c>
      <c r="N9" s="2" t="s">
        <v>21</v>
      </c>
      <c r="O9" s="1"/>
    </row>
    <row r="10" spans="1:15" ht="19.95" customHeight="1" x14ac:dyDescent="0.3">
      <c r="A10" s="12" t="s">
        <v>30</v>
      </c>
      <c r="B10" s="13">
        <f>N17</f>
        <v>2.5</v>
      </c>
      <c r="C10" s="1"/>
      <c r="D10" s="1"/>
      <c r="E10" s="1"/>
      <c r="G10" s="2" t="s">
        <v>22</v>
      </c>
      <c r="H10" s="2" t="s">
        <v>18</v>
      </c>
      <c r="I10" s="10">
        <f>2*I12+I4</f>
        <v>-9.1999999999999993</v>
      </c>
      <c r="J10" s="7">
        <f>2*J12+J4</f>
        <v>0</v>
      </c>
      <c r="K10" s="7">
        <f t="shared" ref="K10:N10" si="0">2*K12+K4</f>
        <v>1</v>
      </c>
      <c r="L10" s="7">
        <f t="shared" si="0"/>
        <v>0</v>
      </c>
      <c r="M10" s="7">
        <f t="shared" si="0"/>
        <v>-0.2</v>
      </c>
      <c r="N10" s="7">
        <f t="shared" si="0"/>
        <v>-12</v>
      </c>
      <c r="O10" s="1"/>
    </row>
    <row r="11" spans="1:15" ht="19.95" customHeight="1" x14ac:dyDescent="0.3">
      <c r="A11" s="12" t="s">
        <v>31</v>
      </c>
      <c r="B11" s="13">
        <f>N18</f>
        <v>3</v>
      </c>
      <c r="C11" s="1"/>
      <c r="D11" s="1"/>
      <c r="E11" s="1"/>
      <c r="G11" s="2" t="s">
        <v>23</v>
      </c>
      <c r="H11" s="4" t="s">
        <v>19</v>
      </c>
      <c r="I11" s="10">
        <f>4*I12+I5</f>
        <v>-6.4</v>
      </c>
      <c r="J11" s="10">
        <f>4*J12+J5</f>
        <v>0</v>
      </c>
      <c r="K11" s="10">
        <f t="shared" ref="K11:N11" si="1">4*K12+K5</f>
        <v>0</v>
      </c>
      <c r="L11" s="10">
        <f t="shared" si="1"/>
        <v>1</v>
      </c>
      <c r="M11" s="10">
        <f t="shared" si="1"/>
        <v>-0.4</v>
      </c>
      <c r="N11" s="10">
        <f t="shared" si="1"/>
        <v>-16</v>
      </c>
      <c r="O11" s="3" t="s">
        <v>32</v>
      </c>
    </row>
    <row r="12" spans="1:15" ht="19.95" customHeight="1" x14ac:dyDescent="0.3">
      <c r="A12" s="12" t="s">
        <v>18</v>
      </c>
      <c r="B12" s="13">
        <f>N16</f>
        <v>11</v>
      </c>
      <c r="C12" s="1"/>
      <c r="D12" s="1"/>
      <c r="E12" s="1"/>
      <c r="G12" s="2" t="s">
        <v>24</v>
      </c>
      <c r="H12" s="2" t="s">
        <v>31</v>
      </c>
      <c r="I12" s="10">
        <f>I6/-10</f>
        <v>0.4</v>
      </c>
      <c r="J12" s="7">
        <f>J6/-10</f>
        <v>1</v>
      </c>
      <c r="K12" s="7">
        <f t="shared" ref="K12:N12" si="2">K6/-10</f>
        <v>0</v>
      </c>
      <c r="L12" s="7">
        <f t="shared" si="2"/>
        <v>0</v>
      </c>
      <c r="M12" s="7">
        <f t="shared" si="2"/>
        <v>-0.1</v>
      </c>
      <c r="N12" s="7">
        <f t="shared" si="2"/>
        <v>4</v>
      </c>
      <c r="O12" s="1"/>
    </row>
    <row r="13" spans="1:15" ht="19.95" customHeight="1" x14ac:dyDescent="0.3">
      <c r="A13" s="12" t="s">
        <v>19</v>
      </c>
      <c r="B13" s="12">
        <v>0</v>
      </c>
      <c r="C13" s="1"/>
      <c r="D13" s="1"/>
      <c r="E13" s="1"/>
      <c r="G13" s="2" t="s">
        <v>25</v>
      </c>
      <c r="H13" s="2" t="s">
        <v>28</v>
      </c>
      <c r="I13" s="10">
        <f>-5*I12+I7</f>
        <v>2</v>
      </c>
      <c r="J13" s="7">
        <f>-5*J12+J7</f>
        <v>0</v>
      </c>
      <c r="K13" s="7">
        <f t="shared" ref="K13:N13" si="3">-5*K12+K7</f>
        <v>0</v>
      </c>
      <c r="L13" s="7">
        <f t="shared" si="3"/>
        <v>0</v>
      </c>
      <c r="M13" s="7">
        <f t="shared" si="3"/>
        <v>0.5</v>
      </c>
      <c r="N13" s="7">
        <f t="shared" si="3"/>
        <v>-20</v>
      </c>
      <c r="O13" s="1"/>
    </row>
    <row r="14" spans="1:15" ht="19.95" customHeight="1" x14ac:dyDescent="0.3">
      <c r="A14" s="12" t="s">
        <v>20</v>
      </c>
      <c r="B14" s="12">
        <v>0</v>
      </c>
      <c r="G14" s="1"/>
      <c r="H14" s="1"/>
      <c r="I14" s="1"/>
      <c r="J14" s="1"/>
      <c r="K14" s="1"/>
      <c r="L14" s="1"/>
      <c r="M14" s="1"/>
      <c r="N14" s="1"/>
      <c r="O14" s="1"/>
    </row>
    <row r="15" spans="1:15" ht="19.95" customHeight="1" x14ac:dyDescent="0.3">
      <c r="G15" s="2"/>
      <c r="H15" s="2" t="s">
        <v>17</v>
      </c>
      <c r="I15" s="2" t="s">
        <v>30</v>
      </c>
      <c r="J15" s="2" t="s">
        <v>31</v>
      </c>
      <c r="K15" s="2" t="s">
        <v>18</v>
      </c>
      <c r="L15" s="2" t="s">
        <v>19</v>
      </c>
      <c r="M15" s="2" t="s">
        <v>20</v>
      </c>
      <c r="N15" s="2" t="s">
        <v>21</v>
      </c>
      <c r="O15" s="1"/>
    </row>
    <row r="16" spans="1:15" ht="19.95" customHeight="1" x14ac:dyDescent="0.3">
      <c r="G16" s="2" t="s">
        <v>22</v>
      </c>
      <c r="H16" s="2" t="s">
        <v>18</v>
      </c>
      <c r="I16" s="7">
        <f>(46/5)*I17+I10</f>
        <v>0</v>
      </c>
      <c r="J16" s="7">
        <f t="shared" ref="J16:N16" si="4">(46/5)*J17+J10</f>
        <v>0</v>
      </c>
      <c r="K16" s="7">
        <f t="shared" si="4"/>
        <v>1</v>
      </c>
      <c r="L16" s="7">
        <f t="shared" si="4"/>
        <v>-1.4375</v>
      </c>
      <c r="M16" s="7">
        <f t="shared" si="4"/>
        <v>0.37499999999999994</v>
      </c>
      <c r="N16" s="7">
        <f t="shared" si="4"/>
        <v>11</v>
      </c>
      <c r="O16" s="1"/>
    </row>
    <row r="17" spans="7:15" ht="19.95" customHeight="1" x14ac:dyDescent="0.3">
      <c r="G17" s="2" t="s">
        <v>23</v>
      </c>
      <c r="H17" s="7" t="s">
        <v>30</v>
      </c>
      <c r="I17" s="7">
        <f>I11/(-32/5)</f>
        <v>1</v>
      </c>
      <c r="J17" s="7">
        <f t="shared" ref="J17:N17" si="5">J11/(-32/5)</f>
        <v>0</v>
      </c>
      <c r="K17" s="7">
        <f t="shared" si="5"/>
        <v>0</v>
      </c>
      <c r="L17" s="7">
        <f t="shared" si="5"/>
        <v>-0.15625</v>
      </c>
      <c r="M17" s="7">
        <f t="shared" si="5"/>
        <v>6.25E-2</v>
      </c>
      <c r="N17" s="7">
        <f t="shared" si="5"/>
        <v>2.5</v>
      </c>
      <c r="O17" s="1"/>
    </row>
    <row r="18" spans="7:15" ht="19.95" customHeight="1" x14ac:dyDescent="0.3">
      <c r="G18" s="2" t="s">
        <v>24</v>
      </c>
      <c r="H18" s="2" t="s">
        <v>31</v>
      </c>
      <c r="I18" s="7">
        <f>-2/5*I17+I12</f>
        <v>0</v>
      </c>
      <c r="J18" s="7">
        <f t="shared" ref="J18:N18" si="6">-2/5*J17+J12</f>
        <v>1</v>
      </c>
      <c r="K18" s="7">
        <f t="shared" si="6"/>
        <v>0</v>
      </c>
      <c r="L18" s="7">
        <f t="shared" si="6"/>
        <v>6.25E-2</v>
      </c>
      <c r="M18" s="7">
        <f t="shared" si="6"/>
        <v>-0.125</v>
      </c>
      <c r="N18" s="7">
        <f t="shared" si="6"/>
        <v>3</v>
      </c>
      <c r="O18" s="1"/>
    </row>
    <row r="19" spans="7:15" ht="19.95" customHeight="1" x14ac:dyDescent="0.3">
      <c r="G19" s="2" t="s">
        <v>25</v>
      </c>
      <c r="H19" s="2" t="s">
        <v>28</v>
      </c>
      <c r="I19" s="7">
        <f>-2*I17+I13</f>
        <v>0</v>
      </c>
      <c r="J19" s="7">
        <f t="shared" ref="J19:N19" si="7">-2*J17+J13</f>
        <v>0</v>
      </c>
      <c r="K19" s="7">
        <f t="shared" si="7"/>
        <v>0</v>
      </c>
      <c r="L19" s="7">
        <f t="shared" si="7"/>
        <v>0.3125</v>
      </c>
      <c r="M19" s="7">
        <f t="shared" si="7"/>
        <v>0.375</v>
      </c>
      <c r="N19" s="7">
        <f t="shared" si="7"/>
        <v>-25</v>
      </c>
      <c r="O19" s="1"/>
    </row>
    <row r="20" spans="7:15" ht="19.95" customHeight="1" x14ac:dyDescent="0.3">
      <c r="O20" s="1"/>
    </row>
    <row r="21" spans="7:15" ht="19.95" customHeight="1" x14ac:dyDescent="0.3">
      <c r="I21" s="16"/>
      <c r="J21" s="16"/>
      <c r="K21" s="16"/>
      <c r="L21" s="16"/>
      <c r="M21" s="16"/>
      <c r="N21" s="16"/>
    </row>
    <row r="22" spans="7:15" ht="19.95" customHeight="1" x14ac:dyDescent="0.3"/>
    <row r="23" spans="7:15" ht="19.95" customHeight="1" x14ac:dyDescent="0.3"/>
    <row r="24" spans="7:15" ht="19.95" customHeight="1" x14ac:dyDescent="0.3"/>
    <row r="25" spans="7:15" ht="19.95" customHeight="1" x14ac:dyDescent="0.3"/>
    <row r="26" spans="7:15" ht="19.95" customHeight="1" x14ac:dyDescent="0.3"/>
    <row r="27" spans="7:15" ht="19.95" customHeight="1" x14ac:dyDescent="0.3"/>
    <row r="28" spans="7:15" ht="19.95" customHeight="1" x14ac:dyDescent="0.3"/>
    <row r="29" spans="7:15" ht="19.95" customHeight="1" x14ac:dyDescent="0.3"/>
    <row r="30" spans="7:15" ht="19.95" customHeight="1" x14ac:dyDescent="0.3"/>
    <row r="31" spans="7:15" ht="19.95" customHeight="1" x14ac:dyDescent="0.3"/>
    <row r="32" spans="7:15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ht="19.95" customHeight="1" x14ac:dyDescent="0.3"/>
    <row r="50" ht="19.95" customHeight="1" x14ac:dyDescent="0.3"/>
    <row r="51" ht="19.95" customHeight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Exemplo</vt:lpstr>
      <vt:lpstr>1A</vt:lpstr>
      <vt:lpstr>1B</vt:lpstr>
      <vt:lpstr>1C</vt:lpstr>
      <vt:lpstr>1D</vt:lpstr>
      <vt:lpstr>1E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Alunos</dc:creator>
  <cp:lastModifiedBy>Alunos</cp:lastModifiedBy>
  <dcterms:created xsi:type="dcterms:W3CDTF">2015-06-05T18:19:34Z</dcterms:created>
  <dcterms:modified xsi:type="dcterms:W3CDTF">2025-09-23T00:48:11Z</dcterms:modified>
</cp:coreProperties>
</file>