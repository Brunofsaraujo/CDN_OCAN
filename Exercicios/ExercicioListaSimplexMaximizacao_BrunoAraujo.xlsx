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ssoas\Bruno.Araujo\CDN_OCAN\"/>
    </mc:Choice>
  </mc:AlternateContent>
  <xr:revisionPtr revIDLastSave="0" documentId="13_ncr:1_{EA303E51-98CC-431A-8B6A-4048DAAA66A6}" xr6:coauthVersionLast="36" xr6:coauthVersionMax="36" xr10:uidLastSave="{00000000-0000-0000-0000-000000000000}"/>
  <bookViews>
    <workbookView xWindow="0" yWindow="0" windowWidth="23040" windowHeight="9204" activeTab="9" xr2:uid="{4B66054C-8D3A-455F-BF15-5B0E15E88A68}"/>
  </bookViews>
  <sheets>
    <sheet name="Exemplo" sheetId="1" r:id="rId1"/>
    <sheet name="1A" sheetId="2" r:id="rId2"/>
    <sheet name="1B" sheetId="3" r:id="rId3"/>
    <sheet name="1C" sheetId="4" r:id="rId4"/>
    <sheet name="2" sheetId="5" r:id="rId5"/>
    <sheet name="3" sheetId="6" r:id="rId6"/>
    <sheet name="4" sheetId="7" r:id="rId7"/>
    <sheet name="5" sheetId="8" r:id="rId8"/>
    <sheet name="6" sheetId="9" r:id="rId9"/>
    <sheet name="6 (2)" sheetId="10" r:id="rId10"/>
  </sheets>
  <definedNames>
    <definedName name="solver_adj" localSheetId="1" hidden="1">'1A'!$C$8:$D$8</definedName>
    <definedName name="solver_adj" localSheetId="2" hidden="1">'1B'!$C$8:$D$8</definedName>
    <definedName name="solver_adj" localSheetId="3" hidden="1">'1C'!$C$8:$F$8</definedName>
    <definedName name="solver_adj" localSheetId="4" hidden="1">'2'!$C$10:$D$10</definedName>
    <definedName name="solver_adj" localSheetId="5" hidden="1">'3'!$C$8:$D$8</definedName>
    <definedName name="solver_adj" localSheetId="6" hidden="1">'4'!$C$8:$D$8</definedName>
    <definedName name="solver_adj" localSheetId="7" hidden="1">'5'!$C$10:$E$10</definedName>
    <definedName name="solver_adj" localSheetId="8" hidden="1">'6'!$C$8:$E$8</definedName>
    <definedName name="solver_adj" localSheetId="9" hidden="1">'6 (2)'!$C$8:$E$8</definedName>
    <definedName name="solver_adj" localSheetId="0" hidden="1">Exemplo!$C$11:$D$11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9" hidden="1">2</definedName>
    <definedName name="solver_eng" localSheetId="0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0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0" hidden="1">2147483647</definedName>
    <definedName name="solver_lhs1" localSheetId="1" hidden="1">'1A'!$E$10</definedName>
    <definedName name="solver_lhs1" localSheetId="2" hidden="1">'1B'!$E$10</definedName>
    <definedName name="solver_lhs1" localSheetId="3" hidden="1">'1C'!$G$10</definedName>
    <definedName name="solver_lhs1" localSheetId="4" hidden="1">'2'!$E$12</definedName>
    <definedName name="solver_lhs1" localSheetId="5" hidden="1">'3'!$E$10</definedName>
    <definedName name="solver_lhs1" localSheetId="6" hidden="1">'4'!$E$10</definedName>
    <definedName name="solver_lhs1" localSheetId="7" hidden="1">'5'!$F$12</definedName>
    <definedName name="solver_lhs1" localSheetId="8" hidden="1">'6'!$F$10</definedName>
    <definedName name="solver_lhs1" localSheetId="9" hidden="1">'6 (2)'!$F$10</definedName>
    <definedName name="solver_lhs1" localSheetId="0" hidden="1">Exemplo!$E$13</definedName>
    <definedName name="solver_lhs2" localSheetId="1" hidden="1">'1A'!$E$11</definedName>
    <definedName name="solver_lhs2" localSheetId="2" hidden="1">'1B'!$E$11</definedName>
    <definedName name="solver_lhs2" localSheetId="3" hidden="1">'1C'!$G$11</definedName>
    <definedName name="solver_lhs2" localSheetId="4" hidden="1">'2'!$E$13</definedName>
    <definedName name="solver_lhs2" localSheetId="5" hidden="1">'3'!$E$11</definedName>
    <definedName name="solver_lhs2" localSheetId="6" hidden="1">'4'!$E$11</definedName>
    <definedName name="solver_lhs2" localSheetId="7" hidden="1">'5'!$F$13</definedName>
    <definedName name="solver_lhs2" localSheetId="8" hidden="1">'6'!$F$11</definedName>
    <definedName name="solver_lhs2" localSheetId="9" hidden="1">'6 (2)'!$F$11</definedName>
    <definedName name="solver_lhs2" localSheetId="0" hidden="1">Exemplo!$E$14</definedName>
    <definedName name="solver_lhs3" localSheetId="1" hidden="1">'1A'!$E$12</definedName>
    <definedName name="solver_lhs3" localSheetId="3" hidden="1">'1C'!$G$12</definedName>
    <definedName name="solver_lhs3" localSheetId="4" hidden="1">'2'!$E$14</definedName>
    <definedName name="solver_lhs3" localSheetId="5" hidden="1">'3'!$E$12</definedName>
    <definedName name="solver_lhs3" localSheetId="6" hidden="1">'4'!$E$12</definedName>
    <definedName name="solver_lhs3" localSheetId="7" hidden="1">'5'!$F$14</definedName>
    <definedName name="solver_lhs3" localSheetId="8" hidden="1">'6'!$F$12</definedName>
    <definedName name="solver_lhs3" localSheetId="9" hidden="1">'6 (2)'!$F$12</definedName>
    <definedName name="solver_lhs3" localSheetId="0" hidden="1">Exemplo!$E$15</definedName>
    <definedName name="solver_lhs4" localSheetId="4" hidden="1">'2'!$E$15</definedName>
    <definedName name="solver_lhs4" localSheetId="7" hidden="1">'5'!$F$15</definedName>
    <definedName name="solver_lhs5" localSheetId="4" hidden="1">'2'!$E$16</definedName>
    <definedName name="solver_lhs5" localSheetId="7" hidden="1">'5'!$F$16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0" hidden="1">2147483647</definedName>
    <definedName name="solver_num" localSheetId="1" hidden="1">3</definedName>
    <definedName name="solver_num" localSheetId="2" hidden="1">2</definedName>
    <definedName name="solver_num" localSheetId="3" hidden="1">3</definedName>
    <definedName name="solver_num" localSheetId="4" hidden="1">5</definedName>
    <definedName name="solver_num" localSheetId="5" hidden="1">3</definedName>
    <definedName name="solver_num" localSheetId="6" hidden="1">3</definedName>
    <definedName name="solver_num" localSheetId="7" hidden="1">5</definedName>
    <definedName name="solver_num" localSheetId="8" hidden="1">3</definedName>
    <definedName name="solver_num" localSheetId="9" hidden="1">2</definedName>
    <definedName name="solver_num" localSheetId="0" hidden="1">3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0" hidden="1">1</definedName>
    <definedName name="solver_opt" localSheetId="1" hidden="1">'1A'!$C$14</definedName>
    <definedName name="solver_opt" localSheetId="2" hidden="1">'1B'!$C$14</definedName>
    <definedName name="solver_opt" localSheetId="3" hidden="1">'1C'!$C$14</definedName>
    <definedName name="solver_opt" localSheetId="4" hidden="1">'2'!$C$18</definedName>
    <definedName name="solver_opt" localSheetId="5" hidden="1">'3'!$C$14</definedName>
    <definedName name="solver_opt" localSheetId="6" hidden="1">'4'!$C$14</definedName>
    <definedName name="solver_opt" localSheetId="7" hidden="1">'5'!$C$18</definedName>
    <definedName name="solver_opt" localSheetId="8" hidden="1">'6'!$C$14</definedName>
    <definedName name="solver_opt" localSheetId="9" hidden="1">'6 (2)'!$C$14</definedName>
    <definedName name="solver_opt" localSheetId="0" hidden="1">Exemplo!$C$17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0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0" hidden="1">2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1" localSheetId="9" hidden="1">1</definedName>
    <definedName name="solver_rel1" localSheetId="0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1</definedName>
    <definedName name="solver_rel2" localSheetId="6" hidden="1">1</definedName>
    <definedName name="solver_rel2" localSheetId="7" hidden="1">1</definedName>
    <definedName name="solver_rel2" localSheetId="8" hidden="1">1</definedName>
    <definedName name="solver_rel2" localSheetId="9" hidden="1">1</definedName>
    <definedName name="solver_rel2" localSheetId="0" hidden="1">1</definedName>
    <definedName name="solver_rel3" localSheetId="1" hidden="1">1</definedName>
    <definedName name="solver_rel3" localSheetId="3" hidden="1">1</definedName>
    <definedName name="solver_rel3" localSheetId="4" hidden="1">1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3" localSheetId="8" hidden="1">1</definedName>
    <definedName name="solver_rel3" localSheetId="9" hidden="1">1</definedName>
    <definedName name="solver_rel3" localSheetId="0" hidden="1">1</definedName>
    <definedName name="solver_rel4" localSheetId="4" hidden="1">1</definedName>
    <definedName name="solver_rel4" localSheetId="7" hidden="1">1</definedName>
    <definedName name="solver_rel5" localSheetId="4" hidden="1">1</definedName>
    <definedName name="solver_rel5" localSheetId="7" hidden="1">1</definedName>
    <definedName name="solver_rhs1" localSheetId="1" hidden="1">'1A'!$G$10</definedName>
    <definedName name="solver_rhs1" localSheetId="2" hidden="1">'1B'!$G$10</definedName>
    <definedName name="solver_rhs1" localSheetId="3" hidden="1">'1C'!$I$10</definedName>
    <definedName name="solver_rhs1" localSheetId="4" hidden="1">'2'!$G$12</definedName>
    <definedName name="solver_rhs1" localSheetId="5" hidden="1">'3'!$G$10</definedName>
    <definedName name="solver_rhs1" localSheetId="6" hidden="1">'4'!$G$10</definedName>
    <definedName name="solver_rhs1" localSheetId="7" hidden="1">'5'!$H$12</definedName>
    <definedName name="solver_rhs1" localSheetId="8" hidden="1">'6'!$H$10</definedName>
    <definedName name="solver_rhs1" localSheetId="9" hidden="1">'6 (2)'!$H$10</definedName>
    <definedName name="solver_rhs1" localSheetId="0" hidden="1">Exemplo!$G$13</definedName>
    <definedName name="solver_rhs2" localSheetId="1" hidden="1">'1A'!$G$11</definedName>
    <definedName name="solver_rhs2" localSheetId="2" hidden="1">'1B'!$G$11</definedName>
    <definedName name="solver_rhs2" localSheetId="3" hidden="1">'1C'!$I$11</definedName>
    <definedName name="solver_rhs2" localSheetId="4" hidden="1">'2'!$G$13</definedName>
    <definedName name="solver_rhs2" localSheetId="5" hidden="1">'3'!$G$11</definedName>
    <definedName name="solver_rhs2" localSheetId="6" hidden="1">'4'!$G$11</definedName>
    <definedName name="solver_rhs2" localSheetId="7" hidden="1">'5'!$H$13</definedName>
    <definedName name="solver_rhs2" localSheetId="8" hidden="1">'6'!$H$11</definedName>
    <definedName name="solver_rhs2" localSheetId="9" hidden="1">'6 (2)'!$H$11</definedName>
    <definedName name="solver_rhs2" localSheetId="0" hidden="1">Exemplo!$G$14</definedName>
    <definedName name="solver_rhs3" localSheetId="1" hidden="1">'1A'!$G$12</definedName>
    <definedName name="solver_rhs3" localSheetId="3" hidden="1">'1C'!$I$12</definedName>
    <definedName name="solver_rhs3" localSheetId="4" hidden="1">'2'!$G$14</definedName>
    <definedName name="solver_rhs3" localSheetId="5" hidden="1">'3'!$G$12</definedName>
    <definedName name="solver_rhs3" localSheetId="6" hidden="1">'4'!$G$12</definedName>
    <definedName name="solver_rhs3" localSheetId="7" hidden="1">'5'!$H$14</definedName>
    <definedName name="solver_rhs3" localSheetId="8" hidden="1">'6'!$H$12</definedName>
    <definedName name="solver_rhs3" localSheetId="9" hidden="1">'6 (2)'!$H$12</definedName>
    <definedName name="solver_rhs3" localSheetId="0" hidden="1">Exemplo!$G$15</definedName>
    <definedName name="solver_rhs4" localSheetId="4" hidden="1">'2'!$G$15</definedName>
    <definedName name="solver_rhs4" localSheetId="7" hidden="1">'5'!$H$15</definedName>
    <definedName name="solver_rhs5" localSheetId="4" hidden="1">'2'!$G$16</definedName>
    <definedName name="solver_rhs5" localSheetId="7" hidden="1">'5'!$H$16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0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0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typ" localSheetId="8" hidden="1">1</definedName>
    <definedName name="solver_typ" localSheetId="9" hidden="1">1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0" l="1"/>
  <c r="D16" i="10"/>
  <c r="C16" i="10"/>
  <c r="C18" i="10" l="1"/>
  <c r="C14" i="10"/>
  <c r="F11" i="10"/>
  <c r="F10" i="10"/>
  <c r="E10" i="7" l="1"/>
  <c r="F12" i="9"/>
  <c r="F11" i="9"/>
  <c r="F10" i="9"/>
  <c r="C14" i="9"/>
  <c r="C18" i="8"/>
  <c r="F13" i="8"/>
  <c r="F14" i="8"/>
  <c r="F15" i="8"/>
  <c r="F16" i="8"/>
  <c r="F12" i="8"/>
  <c r="E10" i="6"/>
  <c r="C14" i="7"/>
  <c r="E12" i="7"/>
  <c r="E11" i="7"/>
  <c r="C14" i="6"/>
  <c r="E12" i="6"/>
  <c r="E11" i="6"/>
  <c r="E13" i="5"/>
  <c r="E14" i="5"/>
  <c r="E15" i="5"/>
  <c r="E16" i="5"/>
  <c r="E12" i="5"/>
  <c r="C18" i="5"/>
  <c r="G11" i="4" l="1"/>
  <c r="G12" i="4"/>
  <c r="G10" i="4"/>
  <c r="C14" i="4"/>
  <c r="E11" i="2"/>
  <c r="E12" i="2"/>
  <c r="E10" i="2"/>
  <c r="E11" i="3"/>
  <c r="E10" i="3"/>
  <c r="C14" i="3"/>
  <c r="C14" i="2"/>
  <c r="E14" i="1"/>
  <c r="E15" i="1"/>
  <c r="E13" i="1"/>
  <c r="C16" i="1"/>
  <c r="C17" i="1"/>
</calcChain>
</file>

<file path=xl/sharedStrings.xml><?xml version="1.0" encoding="utf-8"?>
<sst xmlns="http://schemas.openxmlformats.org/spreadsheetml/2006/main" count="337" uniqueCount="108">
  <si>
    <t>Variáveis</t>
  </si>
  <si>
    <t>Max</t>
  </si>
  <si>
    <t>V.Decisão</t>
  </si>
  <si>
    <t>Restrições</t>
  </si>
  <si>
    <t>R1</t>
  </si>
  <si>
    <t>R2</t>
  </si>
  <si>
    <t>R3</t>
  </si>
  <si>
    <t>Habilitar Solver</t>
  </si>
  <si>
    <t>Arquivos -&gt; Opcoes -&gt; Suplementos -&gt; Suplementos do excel -&gt; Ir -&gt; Solver -&gt; Ok</t>
  </si>
  <si>
    <t>Z = 3000x + 500y</t>
  </si>
  <si>
    <t>Restrições:</t>
  </si>
  <si>
    <t>x</t>
  </si>
  <si>
    <t>y</t>
  </si>
  <si>
    <t>F.O</t>
  </si>
  <si>
    <t>Fórmula</t>
  </si>
  <si>
    <t>&lt;=</t>
  </si>
  <si>
    <t>0,5x + 0,2y &lt;= 16</t>
  </si>
  <si>
    <t>0,25x + 0,3y &lt;= 11</t>
  </si>
  <si>
    <t>0,25x + 0,5y &lt;= 15</t>
  </si>
  <si>
    <t>Exercicios</t>
  </si>
  <si>
    <t>1) Resolva os exercícios abaixo utilizando a ferramenta solver do excel</t>
  </si>
  <si>
    <t>x &lt;= 3</t>
  </si>
  <si>
    <t>y &lt;= 4</t>
  </si>
  <si>
    <t>x + 2y &lt;= 9</t>
  </si>
  <si>
    <t>x,y &gt;= 0</t>
  </si>
  <si>
    <t>2x + 3y &lt;= 6</t>
  </si>
  <si>
    <t>-x + y &lt;= 1</t>
  </si>
  <si>
    <t>1A</t>
  </si>
  <si>
    <t>EXEMPLO</t>
  </si>
  <si>
    <t>Z = 5x + 2y</t>
  </si>
  <si>
    <t>1B</t>
  </si>
  <si>
    <t>Z = -x + 3y</t>
  </si>
  <si>
    <t>a) Z =</t>
  </si>
  <si>
    <t>5x + 2y (MAX)</t>
  </si>
  <si>
    <t>b) Z =</t>
  </si>
  <si>
    <t>-x + 3y (MAX)</t>
  </si>
  <si>
    <t>c) Z =</t>
  </si>
  <si>
    <t>4x + 2y + 6z + 6w</t>
  </si>
  <si>
    <t>2x + 2y + 4z - w &lt;= 6</t>
  </si>
  <si>
    <t>2x + 3y + w &lt;= 12</t>
  </si>
  <si>
    <t>2z &lt;= 8</t>
  </si>
  <si>
    <t>x,y,z,w &gt;= 0</t>
  </si>
  <si>
    <t>1C</t>
  </si>
  <si>
    <t>Z = 4x + 2y + 6z + 6w</t>
  </si>
  <si>
    <t>z</t>
  </si>
  <si>
    <t>w</t>
  </si>
  <si>
    <t xml:space="preserve">Z = </t>
  </si>
  <si>
    <t>10x + 10y (MAX)</t>
  </si>
  <si>
    <t>x ≤ 50</t>
  </si>
  <si>
    <t>y ≤ 60</t>
  </si>
  <si>
    <t>2x + 1y ≤ 100</t>
  </si>
  <si>
    <t>1x + 2y ≤ 120</t>
  </si>
  <si>
    <t>4x + 3y ≤ 210</t>
  </si>
  <si>
    <t>Z = 10x + 10y</t>
  </si>
  <si>
    <t>R4</t>
  </si>
  <si>
    <t>R5</t>
  </si>
  <si>
    <t>3)</t>
  </si>
  <si>
    <t>2)</t>
  </si>
  <si>
    <t>5)</t>
  </si>
  <si>
    <t>4)</t>
  </si>
  <si>
    <t>x ≤ 4</t>
  </si>
  <si>
    <t>y ≤ 6</t>
  </si>
  <si>
    <t>3x + 2y ≤ 18</t>
  </si>
  <si>
    <t>3x + 5y (MAX)</t>
  </si>
  <si>
    <t>Z = 3x + 5y</t>
  </si>
  <si>
    <t>6)</t>
  </si>
  <si>
    <t>50J + 70C + 100Y (MAX)</t>
  </si>
  <si>
    <t>J &lt;= 4</t>
  </si>
  <si>
    <t>C &lt;= 8</t>
  </si>
  <si>
    <t>Y &lt;= 3</t>
  </si>
  <si>
    <t>J+C+Y≤10</t>
  </si>
  <si>
    <t>J+2C+3Y≤18</t>
  </si>
  <si>
    <t>J,C,Y≥0</t>
  </si>
  <si>
    <t>Z = 50J + 70C + 100Y</t>
  </si>
  <si>
    <t>J</t>
  </si>
  <si>
    <t>C</t>
  </si>
  <si>
    <t>Y</t>
  </si>
  <si>
    <t>J + C + Y ≤ 10</t>
  </si>
  <si>
    <t>J + 2C + 3Y ≤ 18</t>
  </si>
  <si>
    <t>A+P+S≤100</t>
  </si>
  <si>
    <t>A,P,S≥0</t>
  </si>
  <si>
    <t>A</t>
  </si>
  <si>
    <t>P</t>
  </si>
  <si>
    <t>S</t>
  </si>
  <si>
    <t>P+2S≤127,5</t>
  </si>
  <si>
    <t>P+S≤100</t>
  </si>
  <si>
    <t>Z = 300A+400P+500S</t>
  </si>
  <si>
    <t>300A+400P+500S (MAX)</t>
  </si>
  <si>
    <t>Z=50x+100y (MAX)</t>
  </si>
  <si>
    <t>10x+5y≤2500</t>
  </si>
  <si>
    <t>4x+10y≤2000</t>
  </si>
  <si>
    <t>1x+1,5y≤450</t>
  </si>
  <si>
    <t>Z = 50x+100y</t>
  </si>
  <si>
    <t>x = camiseta</t>
  </si>
  <si>
    <t>y= bone</t>
  </si>
  <si>
    <t>z = bermuda</t>
  </si>
  <si>
    <t>L = 5x + 3y + 7z</t>
  </si>
  <si>
    <t>x = 1,1</t>
  </si>
  <si>
    <t>y = 0,45</t>
  </si>
  <si>
    <t>z = 1,1</t>
  </si>
  <si>
    <t xml:space="preserve">15 costureiras </t>
  </si>
  <si>
    <t>1,1x + 0,45y + 1,1z &lt;= 175</t>
  </si>
  <si>
    <t>35x + 26y + 50z &lt;= 7200</t>
  </si>
  <si>
    <t>8 horas por dia = 480min</t>
  </si>
  <si>
    <t>7200min / dia</t>
  </si>
  <si>
    <t>Z = 5x + 3y + 7z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</si>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</sst>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right"/>
    </xf>
    <xf numFmtId="2" fontId="0" fillId="0" borderId="0" xfId="0" applyNumberFormat="1" applyBorder="1" applyAlignment="1">
      <alignment horizontal="center"/>
    </xf>
    <xf numFmtId="0" fontId="0" fillId="0" borderId="0" xfId="0" applyAlignment="1"/>
    <xf numFmtId="49" fontId="0" fillId="0" borderId="0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2F9A-1542-44DA-AEBD-35815C6AC5FB}">
  <dimension ref="A1:J18"/>
  <sheetViews>
    <sheetView showGridLines="0" topLeftCell="A4" zoomScale="160" zoomScaleNormal="160" workbookViewId="0">
      <selection activeCell="I10" sqref="I10"/>
    </sheetView>
  </sheetViews>
  <sheetFormatPr defaultRowHeight="14.4" x14ac:dyDescent="0.3"/>
  <cols>
    <col min="1" max="1" width="10.21875" customWidth="1"/>
    <col min="2" max="2" width="9.6640625" customWidth="1"/>
    <col min="7" max="7" width="11.44140625" customWidth="1"/>
    <col min="8" max="8" width="2.77734375" customWidth="1"/>
    <col min="9" max="9" width="5.77734375" customWidth="1"/>
  </cols>
  <sheetData>
    <row r="1" spans="1:10" x14ac:dyDescent="0.3">
      <c r="A1" t="s">
        <v>7</v>
      </c>
    </row>
    <row r="2" spans="1:10" x14ac:dyDescent="0.3">
      <c r="A2" s="29" t="s">
        <v>8</v>
      </c>
      <c r="B2" s="29"/>
      <c r="C2" s="29"/>
      <c r="D2" s="29"/>
      <c r="E2" s="29"/>
      <c r="F2" s="29"/>
      <c r="G2" s="29"/>
    </row>
    <row r="3" spans="1:10" ht="15" thickBot="1" x14ac:dyDescent="0.35"/>
    <row r="4" spans="1:10" ht="15" thickBot="1" x14ac:dyDescent="0.35">
      <c r="A4" s="26" t="s">
        <v>9</v>
      </c>
      <c r="B4" s="27"/>
      <c r="C4" s="4"/>
      <c r="D4" s="4"/>
      <c r="E4" s="4"/>
      <c r="F4" s="4"/>
      <c r="G4" s="17" t="s">
        <v>28</v>
      </c>
      <c r="H4" s="1"/>
    </row>
    <row r="5" spans="1:10" x14ac:dyDescent="0.3">
      <c r="A5" s="13" t="s">
        <v>10</v>
      </c>
      <c r="B5" s="15" t="s">
        <v>4</v>
      </c>
      <c r="C5" s="28" t="s">
        <v>16</v>
      </c>
      <c r="D5" s="28"/>
      <c r="E5" s="6"/>
      <c r="F5" s="6"/>
      <c r="G5" s="8"/>
      <c r="H5" s="1"/>
    </row>
    <row r="6" spans="1:10" x14ac:dyDescent="0.3">
      <c r="A6" s="5"/>
      <c r="B6" s="15" t="s">
        <v>5</v>
      </c>
      <c r="C6" s="28" t="s">
        <v>17</v>
      </c>
      <c r="D6" s="28"/>
      <c r="E6" s="6"/>
      <c r="F6" s="6"/>
      <c r="G6" s="8"/>
      <c r="H6" s="1"/>
    </row>
    <row r="7" spans="1:10" x14ac:dyDescent="0.3">
      <c r="A7" s="5"/>
      <c r="B7" s="15" t="s">
        <v>6</v>
      </c>
      <c r="C7" s="28" t="s">
        <v>18</v>
      </c>
      <c r="D7" s="28"/>
      <c r="E7" s="6"/>
      <c r="F7" s="6"/>
      <c r="G7" s="8"/>
      <c r="H7" s="1"/>
    </row>
    <row r="8" spans="1:10" x14ac:dyDescent="0.3">
      <c r="A8" s="5"/>
      <c r="B8" s="15"/>
      <c r="C8" s="6"/>
      <c r="D8" s="6"/>
      <c r="E8" s="6"/>
      <c r="F8" s="6"/>
      <c r="G8" s="8"/>
      <c r="H8" s="1"/>
    </row>
    <row r="9" spans="1:10" x14ac:dyDescent="0.3">
      <c r="A9" s="13"/>
      <c r="B9" s="14" t="s">
        <v>0</v>
      </c>
      <c r="C9" s="6" t="s">
        <v>11</v>
      </c>
      <c r="D9" s="6" t="s">
        <v>12</v>
      </c>
      <c r="E9" s="6"/>
      <c r="F9" s="6"/>
      <c r="G9" s="8"/>
      <c r="H9" s="1"/>
    </row>
    <row r="10" spans="1:10" x14ac:dyDescent="0.3">
      <c r="A10" s="5"/>
      <c r="B10" s="14" t="s">
        <v>1</v>
      </c>
      <c r="C10" s="6">
        <v>3000</v>
      </c>
      <c r="D10" s="6">
        <v>5000</v>
      </c>
      <c r="E10" s="6"/>
      <c r="F10" s="6"/>
      <c r="G10" s="8"/>
      <c r="H10" s="1"/>
    </row>
    <row r="11" spans="1:10" x14ac:dyDescent="0.3">
      <c r="A11" s="5"/>
      <c r="B11" s="14" t="s">
        <v>2</v>
      </c>
      <c r="C11" s="3">
        <v>19.999999999999986</v>
      </c>
      <c r="D11" s="3">
        <v>20.000000000000007</v>
      </c>
      <c r="E11" s="6"/>
      <c r="F11" s="6"/>
      <c r="G11" s="8"/>
      <c r="H11" s="1"/>
    </row>
    <row r="12" spans="1:10" x14ac:dyDescent="0.3">
      <c r="A12" s="5"/>
      <c r="B12" s="14" t="s">
        <v>3</v>
      </c>
      <c r="C12" s="6"/>
      <c r="D12" s="6"/>
      <c r="E12" s="6" t="s">
        <v>14</v>
      </c>
      <c r="F12" s="6"/>
      <c r="G12" s="8"/>
      <c r="H12" s="1"/>
      <c r="J12" s="16"/>
    </row>
    <row r="13" spans="1:10" x14ac:dyDescent="0.3">
      <c r="A13" s="5"/>
      <c r="B13" s="15" t="s">
        <v>4</v>
      </c>
      <c r="C13" s="6">
        <v>0.5</v>
      </c>
      <c r="D13" s="6">
        <v>0.2</v>
      </c>
      <c r="E13" s="6">
        <f>SUMPRODUCT($C$11:$D$11,C13:D13)</f>
        <v>13.999999999999995</v>
      </c>
      <c r="F13" s="6" t="s">
        <v>15</v>
      </c>
      <c r="G13" s="8">
        <v>16</v>
      </c>
      <c r="H13" s="1"/>
    </row>
    <row r="14" spans="1:10" x14ac:dyDescent="0.3">
      <c r="A14" s="5"/>
      <c r="B14" s="15" t="s">
        <v>5</v>
      </c>
      <c r="C14" s="6">
        <v>0.25</v>
      </c>
      <c r="D14" s="6">
        <v>0.3</v>
      </c>
      <c r="E14" s="6">
        <f t="shared" ref="E14:E15" si="0">SUMPRODUCT($C$11:$D$11,C14:D14)</f>
        <v>10.999999999999998</v>
      </c>
      <c r="F14" s="6" t="s">
        <v>15</v>
      </c>
      <c r="G14" s="8">
        <v>11</v>
      </c>
      <c r="H14" s="1"/>
      <c r="J14" s="16"/>
    </row>
    <row r="15" spans="1:10" x14ac:dyDescent="0.3">
      <c r="A15" s="5"/>
      <c r="B15" s="15" t="s">
        <v>6</v>
      </c>
      <c r="C15" s="6">
        <v>0.25</v>
      </c>
      <c r="D15" s="6">
        <v>0.5</v>
      </c>
      <c r="E15" s="6">
        <f t="shared" si="0"/>
        <v>15</v>
      </c>
      <c r="F15" s="6" t="s">
        <v>15</v>
      </c>
      <c r="G15" s="8">
        <v>15</v>
      </c>
      <c r="H15" s="1"/>
    </row>
    <row r="16" spans="1:10" x14ac:dyDescent="0.3">
      <c r="A16" s="5"/>
      <c r="B16" s="15"/>
      <c r="C16" s="6" t="str">
        <f>$E$12</f>
        <v>Fórmula</v>
      </c>
      <c r="D16" s="6"/>
      <c r="E16" s="6"/>
      <c r="F16" s="6"/>
      <c r="G16" s="8"/>
      <c r="H16" s="1"/>
    </row>
    <row r="17" spans="1:8" ht="15" thickBot="1" x14ac:dyDescent="0.35">
      <c r="A17" s="9"/>
      <c r="B17" s="22" t="s">
        <v>13</v>
      </c>
      <c r="C17" s="11">
        <f>SUMPRODUCT(C11:D11,C10:D10)</f>
        <v>160000</v>
      </c>
      <c r="D17" s="10"/>
      <c r="E17" s="10"/>
      <c r="F17" s="10"/>
      <c r="G17" s="12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</sheetData>
  <mergeCells count="5">
    <mergeCell ref="A4:B4"/>
    <mergeCell ref="C5:D5"/>
    <mergeCell ref="C6:D6"/>
    <mergeCell ref="C7:D7"/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978B-50C0-4743-807A-288C2235C31F}">
  <dimension ref="A1:J14"/>
  <sheetViews>
    <sheetView showGridLines="0" zoomScale="160" zoomScaleNormal="160" workbookViewId="0">
      <selection activeCell="A7" sqref="A7"/>
    </sheetView>
  </sheetViews>
  <sheetFormatPr defaultRowHeight="14.4" x14ac:dyDescent="0.3"/>
  <cols>
    <col min="2" max="2" width="8.88671875" style="2"/>
    <col min="8" max="8" width="3.88671875" customWidth="1"/>
    <col min="9" max="9" width="5.77734375" customWidth="1"/>
  </cols>
  <sheetData>
    <row r="1" spans="1:10" ht="15" thickBot="1" x14ac:dyDescent="0.35">
      <c r="A1" s="26" t="s">
        <v>29</v>
      </c>
      <c r="B1" s="27"/>
      <c r="C1" s="4"/>
      <c r="D1" s="4"/>
      <c r="E1" s="4"/>
      <c r="F1" s="4"/>
      <c r="G1" s="17" t="s">
        <v>27</v>
      </c>
      <c r="I1" t="s">
        <v>19</v>
      </c>
    </row>
    <row r="2" spans="1:10" x14ac:dyDescent="0.3">
      <c r="A2" s="13" t="s">
        <v>10</v>
      </c>
      <c r="B2" s="15" t="s">
        <v>4</v>
      </c>
      <c r="C2" s="28" t="s">
        <v>21</v>
      </c>
      <c r="D2" s="28"/>
      <c r="E2" s="6"/>
      <c r="F2" s="6"/>
      <c r="G2" s="8"/>
    </row>
    <row r="3" spans="1:10" x14ac:dyDescent="0.3">
      <c r="A3" s="5"/>
      <c r="B3" s="15" t="s">
        <v>5</v>
      </c>
      <c r="C3" s="28" t="s">
        <v>22</v>
      </c>
      <c r="D3" s="28"/>
      <c r="E3" s="6"/>
      <c r="F3" s="6"/>
      <c r="G3" s="8"/>
      <c r="I3" t="s">
        <v>20</v>
      </c>
    </row>
    <row r="4" spans="1:10" x14ac:dyDescent="0.3">
      <c r="A4" s="5"/>
      <c r="B4" s="15" t="s">
        <v>6</v>
      </c>
      <c r="C4" s="28" t="s">
        <v>23</v>
      </c>
      <c r="D4" s="28"/>
      <c r="E4" s="6"/>
      <c r="F4" s="6"/>
      <c r="G4" s="8"/>
    </row>
    <row r="5" spans="1:10" x14ac:dyDescent="0.3">
      <c r="A5" s="5"/>
      <c r="B5" s="15"/>
      <c r="C5" s="6"/>
      <c r="D5" s="6"/>
      <c r="E5" s="6"/>
      <c r="F5" s="6"/>
      <c r="G5" s="8"/>
      <c r="I5" t="s">
        <v>32</v>
      </c>
      <c r="J5" t="s">
        <v>33</v>
      </c>
    </row>
    <row r="6" spans="1:10" x14ac:dyDescent="0.3">
      <c r="A6" s="13"/>
      <c r="B6" s="14" t="s">
        <v>0</v>
      </c>
      <c r="C6" s="6" t="s">
        <v>11</v>
      </c>
      <c r="D6" s="6" t="s">
        <v>12</v>
      </c>
      <c r="E6" s="6"/>
      <c r="F6" s="6"/>
      <c r="G6" s="8"/>
      <c r="I6" s="20"/>
      <c r="J6" s="20" t="s">
        <v>21</v>
      </c>
    </row>
    <row r="7" spans="1:10" x14ac:dyDescent="0.3">
      <c r="A7" s="5"/>
      <c r="B7" s="14" t="s">
        <v>1</v>
      </c>
      <c r="C7" s="6">
        <v>5</v>
      </c>
      <c r="D7" s="6">
        <v>2</v>
      </c>
      <c r="E7" s="6"/>
      <c r="F7" s="6"/>
      <c r="G7" s="8"/>
      <c r="I7" s="20"/>
      <c r="J7" s="20" t="s">
        <v>22</v>
      </c>
    </row>
    <row r="8" spans="1:10" x14ac:dyDescent="0.3">
      <c r="A8" s="5"/>
      <c r="B8" s="14" t="s">
        <v>2</v>
      </c>
      <c r="C8" s="3">
        <v>3</v>
      </c>
      <c r="D8" s="3">
        <v>3</v>
      </c>
      <c r="E8" s="6"/>
      <c r="F8" s="6"/>
      <c r="G8" s="8"/>
      <c r="I8" s="20"/>
      <c r="J8" s="20" t="s">
        <v>23</v>
      </c>
    </row>
    <row r="9" spans="1:10" x14ac:dyDescent="0.3">
      <c r="A9" s="5"/>
      <c r="B9" s="14" t="s">
        <v>3</v>
      </c>
      <c r="C9" s="6"/>
      <c r="D9" s="6"/>
      <c r="E9" s="6" t="s">
        <v>14</v>
      </c>
      <c r="F9" s="6"/>
      <c r="G9" s="8"/>
      <c r="I9" s="20"/>
      <c r="J9" s="20" t="s">
        <v>24</v>
      </c>
    </row>
    <row r="10" spans="1:10" x14ac:dyDescent="0.3">
      <c r="A10" s="5"/>
      <c r="B10" s="15" t="s">
        <v>4</v>
      </c>
      <c r="C10" s="6">
        <v>1</v>
      </c>
      <c r="D10" s="6">
        <v>0</v>
      </c>
      <c r="E10" s="6">
        <f>SUMPRODUCT($C$8:$D$8,C10:D10)</f>
        <v>3</v>
      </c>
      <c r="F10" s="6" t="s">
        <v>15</v>
      </c>
      <c r="G10" s="8">
        <v>3</v>
      </c>
    </row>
    <row r="11" spans="1:10" x14ac:dyDescent="0.3">
      <c r="A11" s="5"/>
      <c r="B11" s="15" t="s">
        <v>5</v>
      </c>
      <c r="C11" s="6">
        <v>0</v>
      </c>
      <c r="D11" s="6">
        <v>1</v>
      </c>
      <c r="E11" s="6">
        <f t="shared" ref="E11:E12" si="0">SUMPRODUCT($C$8:$D$8,C11:D11)</f>
        <v>3</v>
      </c>
      <c r="F11" s="6" t="s">
        <v>15</v>
      </c>
      <c r="G11" s="8">
        <v>4</v>
      </c>
    </row>
    <row r="12" spans="1:10" x14ac:dyDescent="0.3">
      <c r="A12" s="5"/>
      <c r="B12" s="15" t="s">
        <v>6</v>
      </c>
      <c r="C12" s="6">
        <v>1</v>
      </c>
      <c r="D12" s="6">
        <v>2</v>
      </c>
      <c r="E12" s="6">
        <f t="shared" si="0"/>
        <v>9</v>
      </c>
      <c r="F12" s="6" t="s">
        <v>15</v>
      </c>
      <c r="G12" s="8">
        <v>9</v>
      </c>
    </row>
    <row r="13" spans="1:10" x14ac:dyDescent="0.3">
      <c r="A13" s="5"/>
      <c r="B13" s="15"/>
      <c r="C13" s="6" t="s">
        <v>14</v>
      </c>
      <c r="D13" s="6"/>
      <c r="E13" s="6"/>
      <c r="F13" s="6"/>
      <c r="G13" s="8"/>
    </row>
    <row r="14" spans="1:10" ht="15" thickBot="1" x14ac:dyDescent="0.35">
      <c r="A14" s="9"/>
      <c r="B14" s="22" t="s">
        <v>13</v>
      </c>
      <c r="C14" s="11">
        <f>SUMPRODUCT(C8:D8,C7:D7)</f>
        <v>21</v>
      </c>
      <c r="D14" s="10"/>
      <c r="E14" s="10"/>
      <c r="F14" s="10"/>
      <c r="G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883E-7696-4298-A50F-CC325AD41DE4}">
  <dimension ref="A1:J14"/>
  <sheetViews>
    <sheetView showGridLines="0" zoomScale="160" zoomScaleNormal="160" workbookViewId="0">
      <selection activeCell="A7" sqref="A7"/>
    </sheetView>
  </sheetViews>
  <sheetFormatPr defaultRowHeight="14.4" x14ac:dyDescent="0.3"/>
  <cols>
    <col min="2" max="2" width="8.88671875" style="2"/>
    <col min="8" max="8" width="3.77734375" customWidth="1"/>
    <col min="9" max="9" width="5.77734375" customWidth="1"/>
  </cols>
  <sheetData>
    <row r="1" spans="1:10" ht="15" thickBot="1" x14ac:dyDescent="0.35">
      <c r="A1" s="26" t="s">
        <v>31</v>
      </c>
      <c r="B1" s="27"/>
      <c r="C1" s="4"/>
      <c r="D1" s="4"/>
      <c r="E1" s="4"/>
      <c r="F1" s="4"/>
      <c r="G1" s="17" t="s">
        <v>30</v>
      </c>
      <c r="I1" t="s">
        <v>19</v>
      </c>
    </row>
    <row r="2" spans="1:10" x14ac:dyDescent="0.3">
      <c r="A2" s="13" t="s">
        <v>10</v>
      </c>
      <c r="B2" s="15" t="s">
        <v>4</v>
      </c>
      <c r="C2" s="30" t="s">
        <v>25</v>
      </c>
      <c r="D2" s="30"/>
      <c r="E2" s="6"/>
      <c r="F2" s="6"/>
      <c r="G2" s="8"/>
    </row>
    <row r="3" spans="1:10" x14ac:dyDescent="0.3">
      <c r="A3" s="5"/>
      <c r="B3" s="15" t="s">
        <v>5</v>
      </c>
      <c r="C3" s="31" t="s">
        <v>26</v>
      </c>
      <c r="D3" s="31"/>
      <c r="E3" s="6"/>
      <c r="F3" s="6"/>
      <c r="G3" s="8"/>
      <c r="I3" t="s">
        <v>20</v>
      </c>
    </row>
    <row r="4" spans="1:10" x14ac:dyDescent="0.3">
      <c r="A4" s="5"/>
      <c r="B4" s="15" t="s">
        <v>6</v>
      </c>
      <c r="C4" s="31"/>
      <c r="D4" s="31"/>
      <c r="E4" s="6"/>
      <c r="F4" s="6"/>
      <c r="G4" s="8"/>
    </row>
    <row r="5" spans="1:10" x14ac:dyDescent="0.3">
      <c r="A5" s="5"/>
      <c r="B5" s="15"/>
      <c r="C5" s="6"/>
      <c r="D5" s="6"/>
      <c r="E5" s="6"/>
      <c r="F5" s="6"/>
      <c r="G5" s="8"/>
      <c r="I5" t="s">
        <v>34</v>
      </c>
      <c r="J5" s="16" t="s">
        <v>35</v>
      </c>
    </row>
    <row r="6" spans="1:10" x14ac:dyDescent="0.3">
      <c r="A6" s="13"/>
      <c r="B6" s="14" t="s">
        <v>0</v>
      </c>
      <c r="C6" s="6" t="s">
        <v>11</v>
      </c>
      <c r="D6" s="6" t="s">
        <v>12</v>
      </c>
      <c r="E6" s="6"/>
      <c r="F6" s="6"/>
      <c r="G6" s="8"/>
      <c r="J6" t="s">
        <v>25</v>
      </c>
    </row>
    <row r="7" spans="1:10" x14ac:dyDescent="0.3">
      <c r="A7" s="5"/>
      <c r="B7" s="14" t="s">
        <v>1</v>
      </c>
      <c r="C7" s="6">
        <v>-1</v>
      </c>
      <c r="D7" s="6">
        <v>3</v>
      </c>
      <c r="E7" s="6"/>
      <c r="F7" s="6"/>
      <c r="G7" s="8"/>
      <c r="J7" s="16" t="s">
        <v>26</v>
      </c>
    </row>
    <row r="8" spans="1:10" x14ac:dyDescent="0.3">
      <c r="A8" s="5"/>
      <c r="B8" s="14" t="s">
        <v>2</v>
      </c>
      <c r="C8" s="3">
        <v>0.60000000000000009</v>
      </c>
      <c r="D8" s="3">
        <v>1.6</v>
      </c>
      <c r="E8" s="6"/>
      <c r="F8" s="6"/>
      <c r="G8" s="8"/>
      <c r="J8" t="s">
        <v>24</v>
      </c>
    </row>
    <row r="9" spans="1:10" x14ac:dyDescent="0.3">
      <c r="A9" s="5"/>
      <c r="B9" s="14" t="s">
        <v>3</v>
      </c>
      <c r="C9" s="6"/>
      <c r="D9" s="6"/>
      <c r="E9" s="6" t="s">
        <v>14</v>
      </c>
      <c r="F9" s="6"/>
      <c r="G9" s="8"/>
    </row>
    <row r="10" spans="1:10" x14ac:dyDescent="0.3">
      <c r="A10" s="5"/>
      <c r="B10" s="15" t="s">
        <v>4</v>
      </c>
      <c r="C10" s="6">
        <v>2</v>
      </c>
      <c r="D10" s="6">
        <v>3</v>
      </c>
      <c r="E10" s="19">
        <f>SUMPRODUCT($C$8:$D$8,C10:D10)</f>
        <v>6.0000000000000009</v>
      </c>
      <c r="F10" s="6" t="s">
        <v>15</v>
      </c>
      <c r="G10" s="8">
        <v>6</v>
      </c>
    </row>
    <row r="11" spans="1:10" x14ac:dyDescent="0.3">
      <c r="A11" s="5"/>
      <c r="B11" s="15" t="s">
        <v>5</v>
      </c>
      <c r="C11" s="6">
        <v>-1</v>
      </c>
      <c r="D11" s="6">
        <v>1</v>
      </c>
      <c r="E11" s="19">
        <f>SUMPRODUCT($C$8:$D$8,C11:D11)</f>
        <v>1</v>
      </c>
      <c r="F11" s="6" t="s">
        <v>15</v>
      </c>
      <c r="G11" s="8">
        <v>1</v>
      </c>
    </row>
    <row r="12" spans="1:10" x14ac:dyDescent="0.3">
      <c r="A12" s="5"/>
      <c r="B12" s="15" t="s">
        <v>6</v>
      </c>
      <c r="C12" s="6"/>
      <c r="D12" s="6"/>
      <c r="E12" s="6"/>
      <c r="F12" s="6"/>
      <c r="G12" s="8"/>
    </row>
    <row r="13" spans="1:10" x14ac:dyDescent="0.3">
      <c r="A13" s="5"/>
      <c r="B13" s="15"/>
      <c r="C13" s="6" t="s">
        <v>14</v>
      </c>
      <c r="D13" s="6"/>
      <c r="E13" s="6"/>
      <c r="F13" s="6"/>
      <c r="G13" s="8"/>
      <c r="J13" s="16"/>
    </row>
    <row r="14" spans="1:10" ht="15" thickBot="1" x14ac:dyDescent="0.35">
      <c r="A14" s="9"/>
      <c r="B14" s="22" t="s">
        <v>13</v>
      </c>
      <c r="C14" s="11">
        <f>SUMPRODUCT(C8:D8,C7:D7)</f>
        <v>4.2000000000000011</v>
      </c>
      <c r="D14" s="10"/>
      <c r="E14" s="10"/>
      <c r="F14" s="10"/>
      <c r="G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B842-E0E2-4167-879C-D7A1CBB5DBDB}">
  <dimension ref="A1:L14"/>
  <sheetViews>
    <sheetView showGridLines="0" zoomScale="145" zoomScaleNormal="145" workbookViewId="0">
      <selection activeCell="B16" sqref="B16"/>
    </sheetView>
  </sheetViews>
  <sheetFormatPr defaultRowHeight="14.4" x14ac:dyDescent="0.3"/>
  <cols>
    <col min="2" max="2" width="12.109375" style="2" customWidth="1"/>
    <col min="10" max="10" width="3.77734375" customWidth="1"/>
    <col min="11" max="11" width="5.77734375" customWidth="1"/>
  </cols>
  <sheetData>
    <row r="1" spans="1:12" ht="15" thickBot="1" x14ac:dyDescent="0.35">
      <c r="A1" s="26" t="s">
        <v>43</v>
      </c>
      <c r="B1" s="27"/>
      <c r="C1" s="4"/>
      <c r="D1" s="4"/>
      <c r="E1" s="4"/>
      <c r="F1" s="4"/>
      <c r="G1" s="4"/>
      <c r="H1" s="4"/>
      <c r="I1" s="17" t="s">
        <v>42</v>
      </c>
      <c r="K1" t="s">
        <v>19</v>
      </c>
    </row>
    <row r="2" spans="1:12" x14ac:dyDescent="0.3">
      <c r="A2" s="13" t="s">
        <v>10</v>
      </c>
      <c r="B2" s="15" t="s">
        <v>4</v>
      </c>
      <c r="C2" s="28" t="s">
        <v>38</v>
      </c>
      <c r="D2" s="28"/>
      <c r="E2" s="15"/>
      <c r="F2" s="15"/>
      <c r="G2" s="6"/>
      <c r="H2" s="6"/>
      <c r="I2" s="8"/>
    </row>
    <row r="3" spans="1:12" x14ac:dyDescent="0.3">
      <c r="A3" s="5"/>
      <c r="B3" s="15" t="s">
        <v>5</v>
      </c>
      <c r="C3" s="32" t="s">
        <v>39</v>
      </c>
      <c r="D3" s="32"/>
      <c r="E3" s="21"/>
      <c r="F3" s="21"/>
      <c r="G3" s="6"/>
      <c r="H3" s="6"/>
      <c r="I3" s="8"/>
      <c r="K3" t="s">
        <v>20</v>
      </c>
    </row>
    <row r="4" spans="1:12" x14ac:dyDescent="0.3">
      <c r="A4" s="5"/>
      <c r="B4" s="15" t="s">
        <v>6</v>
      </c>
      <c r="C4" s="32" t="s">
        <v>40</v>
      </c>
      <c r="D4" s="32"/>
      <c r="E4" s="21"/>
      <c r="F4" s="21"/>
      <c r="G4" s="6"/>
      <c r="H4" s="6"/>
      <c r="I4" s="8"/>
    </row>
    <row r="5" spans="1:12" x14ac:dyDescent="0.3">
      <c r="A5" s="5"/>
      <c r="B5" s="15"/>
      <c r="C5" s="6"/>
      <c r="D5" s="6"/>
      <c r="E5" s="6"/>
      <c r="F5" s="6"/>
      <c r="G5" s="6"/>
      <c r="H5" s="6"/>
      <c r="I5" s="8"/>
      <c r="K5" t="s">
        <v>36</v>
      </c>
      <c r="L5" t="s">
        <v>37</v>
      </c>
    </row>
    <row r="6" spans="1:12" x14ac:dyDescent="0.3">
      <c r="A6" s="13"/>
      <c r="B6" s="14" t="s">
        <v>0</v>
      </c>
      <c r="C6" s="6" t="s">
        <v>11</v>
      </c>
      <c r="D6" s="6" t="s">
        <v>12</v>
      </c>
      <c r="E6" s="6" t="s">
        <v>44</v>
      </c>
      <c r="F6" s="6" t="s">
        <v>45</v>
      </c>
      <c r="I6" s="8"/>
      <c r="L6" t="s">
        <v>38</v>
      </c>
    </row>
    <row r="7" spans="1:12" x14ac:dyDescent="0.3">
      <c r="A7" s="5"/>
      <c r="B7" s="14" t="s">
        <v>1</v>
      </c>
      <c r="C7" s="6">
        <v>4</v>
      </c>
      <c r="D7" s="6">
        <v>2</v>
      </c>
      <c r="E7" s="6">
        <v>6</v>
      </c>
      <c r="F7" s="6">
        <v>6</v>
      </c>
      <c r="I7" s="8"/>
      <c r="L7" t="s">
        <v>39</v>
      </c>
    </row>
    <row r="8" spans="1:12" x14ac:dyDescent="0.3">
      <c r="A8" s="5"/>
      <c r="B8" s="14" t="s">
        <v>2</v>
      </c>
      <c r="C8" s="3">
        <v>0</v>
      </c>
      <c r="D8" s="3">
        <v>0</v>
      </c>
      <c r="E8" s="3">
        <v>4</v>
      </c>
      <c r="F8" s="3">
        <v>12</v>
      </c>
      <c r="I8" s="8"/>
      <c r="L8" t="s">
        <v>40</v>
      </c>
    </row>
    <row r="9" spans="1:12" x14ac:dyDescent="0.3">
      <c r="A9" s="5"/>
      <c r="B9" s="14" t="s">
        <v>3</v>
      </c>
      <c r="C9" s="6"/>
      <c r="D9" s="6"/>
      <c r="E9" s="6"/>
      <c r="F9" s="6"/>
      <c r="G9" s="6" t="s">
        <v>14</v>
      </c>
      <c r="H9" s="6"/>
      <c r="I9" s="8"/>
      <c r="L9" t="s">
        <v>41</v>
      </c>
    </row>
    <row r="10" spans="1:12" x14ac:dyDescent="0.3">
      <c r="A10" s="5"/>
      <c r="B10" s="15" t="s">
        <v>4</v>
      </c>
      <c r="C10" s="6">
        <v>2</v>
      </c>
      <c r="D10" s="6">
        <v>2</v>
      </c>
      <c r="E10" s="6">
        <v>4</v>
      </c>
      <c r="F10" s="6">
        <v>-1</v>
      </c>
      <c r="G10" s="19">
        <f>SUMPRODUCT($C$8:$F$8,C10:F10)</f>
        <v>4</v>
      </c>
      <c r="H10" s="6" t="s">
        <v>15</v>
      </c>
      <c r="I10" s="8">
        <v>6</v>
      </c>
    </row>
    <row r="11" spans="1:12" x14ac:dyDescent="0.3">
      <c r="A11" s="5"/>
      <c r="B11" s="15" t="s">
        <v>5</v>
      </c>
      <c r="C11" s="6">
        <v>2</v>
      </c>
      <c r="D11" s="6">
        <v>3</v>
      </c>
      <c r="E11" s="6">
        <v>0</v>
      </c>
      <c r="F11" s="6">
        <v>1</v>
      </c>
      <c r="G11" s="19">
        <f t="shared" ref="G11:G12" si="0">SUMPRODUCT($C$8:$F$8,C11:F11)</f>
        <v>12</v>
      </c>
      <c r="H11" s="6" t="s">
        <v>15</v>
      </c>
      <c r="I11" s="8">
        <v>12</v>
      </c>
    </row>
    <row r="12" spans="1:12" x14ac:dyDescent="0.3">
      <c r="A12" s="5"/>
      <c r="B12" s="15" t="s">
        <v>6</v>
      </c>
      <c r="C12" s="6">
        <v>0</v>
      </c>
      <c r="D12" s="6">
        <v>0</v>
      </c>
      <c r="E12" s="6">
        <v>2</v>
      </c>
      <c r="F12" s="6">
        <v>0</v>
      </c>
      <c r="G12" s="19">
        <f t="shared" si="0"/>
        <v>8</v>
      </c>
      <c r="H12" s="6" t="s">
        <v>15</v>
      </c>
      <c r="I12" s="8">
        <v>8</v>
      </c>
    </row>
    <row r="13" spans="1:12" x14ac:dyDescent="0.3">
      <c r="A13" s="5"/>
      <c r="B13" s="15"/>
      <c r="C13" s="6" t="s">
        <v>14</v>
      </c>
      <c r="D13" s="6"/>
      <c r="E13" s="6"/>
      <c r="F13" s="6"/>
      <c r="G13" s="6"/>
      <c r="H13" s="6"/>
      <c r="I13" s="8"/>
      <c r="L13" s="16"/>
    </row>
    <row r="14" spans="1:12" ht="15" thickBot="1" x14ac:dyDescent="0.35">
      <c r="A14" s="9"/>
      <c r="B14" s="22" t="s">
        <v>13</v>
      </c>
      <c r="C14" s="11">
        <f>SUMPRODUCT(C8:F8,C7:F7)</f>
        <v>96</v>
      </c>
      <c r="D14" s="10"/>
      <c r="E14" s="10"/>
      <c r="F14" s="10"/>
      <c r="G14" s="10"/>
      <c r="H14" s="10"/>
      <c r="I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7A9C-38D9-44C1-A5B0-59466D122572}">
  <dimension ref="A1:L18"/>
  <sheetViews>
    <sheetView showGridLines="0" zoomScale="130" zoomScaleNormal="130" workbookViewId="0">
      <selection activeCell="K13" sqref="K13"/>
    </sheetView>
  </sheetViews>
  <sheetFormatPr defaultRowHeight="14.4" x14ac:dyDescent="0.3"/>
  <cols>
    <col min="8" max="8" width="3.77734375" customWidth="1"/>
    <col min="9" max="9" width="4.77734375" customWidth="1"/>
  </cols>
  <sheetData>
    <row r="1" spans="1:12" ht="15" thickBot="1" x14ac:dyDescent="0.35">
      <c r="A1" s="26" t="s">
        <v>53</v>
      </c>
      <c r="B1" s="27"/>
      <c r="C1" s="4"/>
      <c r="D1" s="4"/>
      <c r="E1" s="4"/>
      <c r="F1" s="4"/>
      <c r="G1" s="17">
        <v>2</v>
      </c>
      <c r="I1" t="s">
        <v>19</v>
      </c>
    </row>
    <row r="2" spans="1:12" x14ac:dyDescent="0.3">
      <c r="A2" s="13" t="s">
        <v>10</v>
      </c>
      <c r="B2" s="18" t="s">
        <v>4</v>
      </c>
      <c r="C2" s="28" t="s">
        <v>48</v>
      </c>
      <c r="D2" s="28"/>
      <c r="E2" s="7"/>
      <c r="F2" s="7"/>
      <c r="G2" s="8"/>
    </row>
    <row r="3" spans="1:12" x14ac:dyDescent="0.3">
      <c r="A3" s="5"/>
      <c r="B3" s="18" t="s">
        <v>5</v>
      </c>
      <c r="C3" s="32" t="s">
        <v>49</v>
      </c>
      <c r="D3" s="32"/>
      <c r="E3" s="7"/>
      <c r="F3" s="7"/>
      <c r="G3" s="8"/>
      <c r="I3" s="20" t="s">
        <v>57</v>
      </c>
      <c r="J3" s="20"/>
      <c r="K3" s="20"/>
      <c r="L3" s="20"/>
    </row>
    <row r="4" spans="1:12" x14ac:dyDescent="0.3">
      <c r="A4" s="5"/>
      <c r="B4" s="18" t="s">
        <v>6</v>
      </c>
      <c r="C4" s="32" t="s">
        <v>50</v>
      </c>
      <c r="D4" s="32"/>
      <c r="E4" s="7"/>
      <c r="F4" s="7"/>
      <c r="G4" s="8"/>
      <c r="I4" s="20" t="s">
        <v>46</v>
      </c>
      <c r="J4" t="s">
        <v>47</v>
      </c>
      <c r="K4" s="20"/>
      <c r="L4" s="20"/>
    </row>
    <row r="5" spans="1:12" x14ac:dyDescent="0.3">
      <c r="A5" s="5"/>
      <c r="B5" s="18" t="s">
        <v>54</v>
      </c>
      <c r="C5" s="21"/>
      <c r="D5" s="2" t="s">
        <v>51</v>
      </c>
      <c r="E5" s="7"/>
      <c r="F5" s="7"/>
      <c r="G5" s="8"/>
      <c r="I5" s="20"/>
      <c r="J5" t="s">
        <v>48</v>
      </c>
      <c r="K5" s="20"/>
      <c r="L5" s="20"/>
    </row>
    <row r="6" spans="1:12" x14ac:dyDescent="0.3">
      <c r="A6" s="5"/>
      <c r="B6" s="18" t="s">
        <v>55</v>
      </c>
      <c r="C6" s="21"/>
      <c r="D6" s="2" t="s">
        <v>52</v>
      </c>
      <c r="E6" s="7"/>
      <c r="F6" s="7"/>
      <c r="G6" s="8"/>
      <c r="I6" s="20"/>
      <c r="J6" t="s">
        <v>49</v>
      </c>
      <c r="K6" s="20"/>
      <c r="L6" s="20"/>
    </row>
    <row r="7" spans="1:12" x14ac:dyDescent="0.3">
      <c r="A7" s="5"/>
      <c r="B7" s="18"/>
      <c r="C7" s="7"/>
      <c r="D7" s="7"/>
      <c r="E7" s="7"/>
      <c r="F7" s="7"/>
      <c r="G7" s="8"/>
      <c r="I7" s="20"/>
      <c r="J7" t="s">
        <v>50</v>
      </c>
      <c r="L7" s="20"/>
    </row>
    <row r="8" spans="1:12" x14ac:dyDescent="0.3">
      <c r="A8" s="13"/>
      <c r="B8" s="14" t="s">
        <v>0</v>
      </c>
      <c r="C8" s="7" t="s">
        <v>11</v>
      </c>
      <c r="D8" s="7" t="s">
        <v>12</v>
      </c>
      <c r="G8" s="8"/>
      <c r="I8" s="20"/>
      <c r="J8" t="s">
        <v>51</v>
      </c>
      <c r="L8" s="20"/>
    </row>
    <row r="9" spans="1:12" x14ac:dyDescent="0.3">
      <c r="A9" s="5"/>
      <c r="B9" s="14" t="s">
        <v>1</v>
      </c>
      <c r="C9" s="7">
        <v>10</v>
      </c>
      <c r="D9" s="7">
        <v>10</v>
      </c>
      <c r="G9" s="8"/>
      <c r="I9" s="20"/>
      <c r="J9" t="s">
        <v>52</v>
      </c>
      <c r="L9" s="20"/>
    </row>
    <row r="10" spans="1:12" x14ac:dyDescent="0.3">
      <c r="A10" s="5"/>
      <c r="B10" s="14" t="s">
        <v>2</v>
      </c>
      <c r="C10" s="3">
        <v>12</v>
      </c>
      <c r="D10" s="3">
        <v>54</v>
      </c>
      <c r="G10" s="8"/>
      <c r="I10" s="20"/>
      <c r="J10" s="16" t="s">
        <v>24</v>
      </c>
      <c r="L10" s="20"/>
    </row>
    <row r="11" spans="1:12" x14ac:dyDescent="0.3">
      <c r="A11" s="5"/>
      <c r="B11" s="14" t="s">
        <v>3</v>
      </c>
      <c r="C11" s="7"/>
      <c r="D11" s="7"/>
      <c r="E11" s="7" t="s">
        <v>14</v>
      </c>
      <c r="F11" s="7"/>
      <c r="G11" s="8"/>
      <c r="I11" s="20"/>
      <c r="L11" s="20"/>
    </row>
    <row r="12" spans="1:12" x14ac:dyDescent="0.3">
      <c r="A12" s="5"/>
      <c r="B12" s="18" t="s">
        <v>4</v>
      </c>
      <c r="C12" s="7">
        <v>1</v>
      </c>
      <c r="D12" s="7">
        <v>0</v>
      </c>
      <c r="E12" s="19">
        <f>SUMPRODUCT($C$10:$D$10,C12:D12)</f>
        <v>12</v>
      </c>
      <c r="F12" s="7" t="s">
        <v>15</v>
      </c>
      <c r="G12" s="8">
        <v>50</v>
      </c>
      <c r="I12" s="20"/>
      <c r="L12" s="20"/>
    </row>
    <row r="13" spans="1:12" x14ac:dyDescent="0.3">
      <c r="A13" s="5"/>
      <c r="B13" s="18" t="s">
        <v>5</v>
      </c>
      <c r="C13" s="7">
        <v>0</v>
      </c>
      <c r="D13" s="7">
        <v>1</v>
      </c>
      <c r="E13" s="19">
        <f t="shared" ref="E13:E16" si="0">SUMPRODUCT($C$10:$D$10,C13:D13)</f>
        <v>54</v>
      </c>
      <c r="F13" s="7" t="s">
        <v>15</v>
      </c>
      <c r="G13" s="8">
        <v>60</v>
      </c>
      <c r="I13" s="20"/>
      <c r="J13" s="20"/>
      <c r="K13" s="20"/>
      <c r="L13" s="20"/>
    </row>
    <row r="14" spans="1:12" x14ac:dyDescent="0.3">
      <c r="A14" s="5"/>
      <c r="B14" s="18" t="s">
        <v>6</v>
      </c>
      <c r="C14" s="7">
        <v>2</v>
      </c>
      <c r="D14" s="7">
        <v>1</v>
      </c>
      <c r="E14" s="19">
        <f t="shared" si="0"/>
        <v>78</v>
      </c>
      <c r="F14" s="7" t="s">
        <v>15</v>
      </c>
      <c r="G14" s="8">
        <v>100</v>
      </c>
      <c r="I14" s="20"/>
      <c r="J14" s="20"/>
      <c r="K14" s="20"/>
      <c r="L14" s="20"/>
    </row>
    <row r="15" spans="1:12" x14ac:dyDescent="0.3">
      <c r="A15" s="5"/>
      <c r="B15" s="18" t="s">
        <v>54</v>
      </c>
      <c r="C15" s="7">
        <v>1</v>
      </c>
      <c r="D15" s="7">
        <v>2</v>
      </c>
      <c r="E15" s="19">
        <f t="shared" si="0"/>
        <v>120</v>
      </c>
      <c r="F15" s="7" t="s">
        <v>15</v>
      </c>
      <c r="G15" s="8">
        <v>120</v>
      </c>
      <c r="I15" s="20"/>
      <c r="J15" s="20"/>
      <c r="K15" s="20"/>
      <c r="L15" s="20"/>
    </row>
    <row r="16" spans="1:12" x14ac:dyDescent="0.3">
      <c r="A16" s="5"/>
      <c r="B16" s="18" t="s">
        <v>55</v>
      </c>
      <c r="C16" s="7">
        <v>4</v>
      </c>
      <c r="D16" s="7">
        <v>3</v>
      </c>
      <c r="E16" s="19">
        <f t="shared" si="0"/>
        <v>210</v>
      </c>
      <c r="F16" s="7" t="s">
        <v>15</v>
      </c>
      <c r="G16" s="8">
        <v>210</v>
      </c>
    </row>
    <row r="17" spans="1:7" x14ac:dyDescent="0.3">
      <c r="A17" s="5"/>
      <c r="B17" s="18"/>
      <c r="C17" s="7" t="s">
        <v>14</v>
      </c>
      <c r="D17" s="7"/>
      <c r="E17" s="7"/>
      <c r="F17" s="7"/>
      <c r="G17" s="8"/>
    </row>
    <row r="18" spans="1:7" ht="15" thickBot="1" x14ac:dyDescent="0.35">
      <c r="A18" s="9"/>
      <c r="B18" s="22" t="s">
        <v>13</v>
      </c>
      <c r="C18" s="11">
        <f>SUMPRODUCT(C10:D10,C9:D9)</f>
        <v>660</v>
      </c>
      <c r="D18" s="10"/>
      <c r="E18" s="10"/>
      <c r="F18" s="10"/>
      <c r="G18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0132-11F9-4483-9C3C-4ECCEB22772E}">
  <dimension ref="A1:K14"/>
  <sheetViews>
    <sheetView showGridLines="0" zoomScale="145" zoomScaleNormal="145" workbookViewId="0">
      <selection activeCell="J8" sqref="J8"/>
    </sheetView>
  </sheetViews>
  <sheetFormatPr defaultRowHeight="14.4" x14ac:dyDescent="0.3"/>
  <cols>
    <col min="8" max="8" width="3.77734375" customWidth="1"/>
    <col min="9" max="9" width="4" customWidth="1"/>
  </cols>
  <sheetData>
    <row r="1" spans="1:11" ht="15" thickBot="1" x14ac:dyDescent="0.35">
      <c r="A1" s="26" t="s">
        <v>64</v>
      </c>
      <c r="B1" s="27"/>
      <c r="C1" s="4"/>
      <c r="D1" s="4"/>
      <c r="E1" s="4"/>
      <c r="F1" s="4"/>
      <c r="G1" s="17">
        <v>3</v>
      </c>
      <c r="I1" t="s">
        <v>19</v>
      </c>
    </row>
    <row r="2" spans="1:11" x14ac:dyDescent="0.3">
      <c r="A2" s="13" t="s">
        <v>10</v>
      </c>
      <c r="B2" s="18" t="s">
        <v>4</v>
      </c>
      <c r="C2" s="28" t="s">
        <v>60</v>
      </c>
      <c r="D2" s="28"/>
      <c r="E2" s="7"/>
      <c r="F2" s="7"/>
      <c r="G2" s="8"/>
    </row>
    <row r="3" spans="1:11" x14ac:dyDescent="0.3">
      <c r="A3" s="5"/>
      <c r="B3" s="18" t="s">
        <v>5</v>
      </c>
      <c r="C3" s="32" t="s">
        <v>61</v>
      </c>
      <c r="D3" s="32"/>
      <c r="E3" s="7"/>
      <c r="F3" s="7"/>
      <c r="G3" s="8"/>
      <c r="I3" s="20" t="s">
        <v>56</v>
      </c>
      <c r="J3" s="20"/>
      <c r="K3" s="20"/>
    </row>
    <row r="4" spans="1:11" x14ac:dyDescent="0.3">
      <c r="A4" s="5"/>
      <c r="B4" s="18" t="s">
        <v>6</v>
      </c>
      <c r="C4" s="32" t="s">
        <v>62</v>
      </c>
      <c r="D4" s="32"/>
      <c r="E4" s="7"/>
      <c r="F4" s="7"/>
      <c r="G4" s="8"/>
      <c r="I4" s="20" t="s">
        <v>46</v>
      </c>
      <c r="J4" t="s">
        <v>63</v>
      </c>
      <c r="K4" s="20"/>
    </row>
    <row r="5" spans="1:11" x14ac:dyDescent="0.3">
      <c r="A5" s="5"/>
      <c r="B5" s="18"/>
      <c r="C5" s="7"/>
      <c r="D5" s="7"/>
      <c r="E5" s="7"/>
      <c r="F5" s="7"/>
      <c r="G5" s="8"/>
      <c r="I5" s="20"/>
      <c r="J5" t="s">
        <v>60</v>
      </c>
    </row>
    <row r="6" spans="1:11" x14ac:dyDescent="0.3">
      <c r="A6" s="13"/>
      <c r="B6" s="14" t="s">
        <v>0</v>
      </c>
      <c r="C6" s="7" t="s">
        <v>11</v>
      </c>
      <c r="D6" s="7" t="s">
        <v>12</v>
      </c>
      <c r="G6" s="8"/>
      <c r="I6" s="20"/>
      <c r="J6" t="s">
        <v>61</v>
      </c>
    </row>
    <row r="7" spans="1:11" x14ac:dyDescent="0.3">
      <c r="A7" s="5"/>
      <c r="B7" s="14" t="s">
        <v>1</v>
      </c>
      <c r="C7" s="7">
        <v>3</v>
      </c>
      <c r="D7" s="7">
        <v>5</v>
      </c>
      <c r="G7" s="8"/>
      <c r="I7" s="20"/>
      <c r="J7" t="s">
        <v>62</v>
      </c>
    </row>
    <row r="8" spans="1:11" x14ac:dyDescent="0.3">
      <c r="A8" s="5"/>
      <c r="B8" s="14" t="s">
        <v>2</v>
      </c>
      <c r="C8" s="3">
        <v>2</v>
      </c>
      <c r="D8" s="3">
        <v>6</v>
      </c>
      <c r="G8" s="8"/>
      <c r="I8" s="20"/>
      <c r="J8" s="16" t="s">
        <v>24</v>
      </c>
    </row>
    <row r="9" spans="1:11" x14ac:dyDescent="0.3">
      <c r="A9" s="5"/>
      <c r="B9" s="14" t="s">
        <v>3</v>
      </c>
      <c r="C9" s="7"/>
      <c r="D9" s="7"/>
      <c r="E9" s="7" t="s">
        <v>14</v>
      </c>
      <c r="F9" s="7"/>
      <c r="G9" s="8"/>
      <c r="I9" s="20"/>
    </row>
    <row r="10" spans="1:11" x14ac:dyDescent="0.3">
      <c r="A10" s="5"/>
      <c r="B10" s="18" t="s">
        <v>4</v>
      </c>
      <c r="C10" s="7">
        <v>1</v>
      </c>
      <c r="D10" s="7">
        <v>0</v>
      </c>
      <c r="E10" s="19">
        <f>SUMPRODUCT($C$8:$D$8,C10:D10)</f>
        <v>2</v>
      </c>
      <c r="F10" s="7" t="s">
        <v>15</v>
      </c>
      <c r="G10" s="8">
        <v>4</v>
      </c>
      <c r="I10" s="20"/>
    </row>
    <row r="11" spans="1:11" x14ac:dyDescent="0.3">
      <c r="A11" s="5"/>
      <c r="B11" s="18" t="s">
        <v>5</v>
      </c>
      <c r="C11" s="7">
        <v>0</v>
      </c>
      <c r="D11" s="7">
        <v>1</v>
      </c>
      <c r="E11" s="19">
        <f t="shared" ref="E11:E12" si="0">SUMPRODUCT($C$8:$D$8,C11:D11)</f>
        <v>6</v>
      </c>
      <c r="F11" s="7" t="s">
        <v>15</v>
      </c>
      <c r="G11" s="8">
        <v>6</v>
      </c>
      <c r="I11" s="20"/>
      <c r="J11" s="20"/>
      <c r="K11" s="20"/>
    </row>
    <row r="12" spans="1:11" x14ac:dyDescent="0.3">
      <c r="A12" s="5"/>
      <c r="B12" s="18" t="s">
        <v>6</v>
      </c>
      <c r="C12" s="7">
        <v>3</v>
      </c>
      <c r="D12" s="7">
        <v>2</v>
      </c>
      <c r="E12" s="19">
        <f t="shared" si="0"/>
        <v>18</v>
      </c>
      <c r="F12" s="7" t="s">
        <v>15</v>
      </c>
      <c r="G12" s="8">
        <v>18</v>
      </c>
      <c r="I12" s="20"/>
      <c r="J12" s="20"/>
      <c r="K12" s="20"/>
    </row>
    <row r="13" spans="1:11" x14ac:dyDescent="0.3">
      <c r="A13" s="5"/>
      <c r="B13" s="18"/>
      <c r="C13" s="7" t="s">
        <v>14</v>
      </c>
      <c r="D13" s="7"/>
      <c r="E13" s="7"/>
      <c r="F13" s="7"/>
      <c r="G13" s="8"/>
    </row>
    <row r="14" spans="1:11" ht="15" thickBot="1" x14ac:dyDescent="0.35">
      <c r="A14" s="9"/>
      <c r="B14" s="22" t="s">
        <v>13</v>
      </c>
      <c r="C14" s="11">
        <f>SUMPRODUCT(C8:D8,C7:D7)</f>
        <v>36</v>
      </c>
      <c r="D14" s="10"/>
      <c r="E14" s="10"/>
      <c r="F14" s="10"/>
      <c r="G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11E0-C450-46ED-A4BC-AB8D41CBFAA7}">
  <dimension ref="A1:K14"/>
  <sheetViews>
    <sheetView showGridLines="0" zoomScale="145" zoomScaleNormal="145" workbookViewId="0">
      <selection activeCell="F8" sqref="F8"/>
    </sheetView>
  </sheetViews>
  <sheetFormatPr defaultRowHeight="14.4" x14ac:dyDescent="0.3"/>
  <cols>
    <col min="8" max="9" width="3.77734375" customWidth="1"/>
  </cols>
  <sheetData>
    <row r="1" spans="1:11" ht="15" thickBot="1" x14ac:dyDescent="0.35">
      <c r="A1" s="26" t="s">
        <v>92</v>
      </c>
      <c r="B1" s="27"/>
      <c r="C1" s="4"/>
      <c r="D1" s="4"/>
      <c r="E1" s="4"/>
      <c r="F1" s="4"/>
      <c r="G1" s="17">
        <v>4</v>
      </c>
      <c r="I1" t="s">
        <v>19</v>
      </c>
    </row>
    <row r="2" spans="1:11" x14ac:dyDescent="0.3">
      <c r="A2" s="13" t="s">
        <v>10</v>
      </c>
      <c r="B2" s="18" t="s">
        <v>4</v>
      </c>
      <c r="C2" s="28" t="s">
        <v>89</v>
      </c>
      <c r="D2" s="28"/>
      <c r="E2" s="7"/>
      <c r="F2" s="7"/>
      <c r="G2" s="8"/>
    </row>
    <row r="3" spans="1:11" x14ac:dyDescent="0.3">
      <c r="A3" s="5"/>
      <c r="B3" s="18" t="s">
        <v>5</v>
      </c>
      <c r="C3" s="32" t="s">
        <v>90</v>
      </c>
      <c r="D3" s="32"/>
      <c r="E3" s="7"/>
      <c r="F3" s="7"/>
      <c r="G3" s="8"/>
      <c r="I3" s="20" t="s">
        <v>59</v>
      </c>
      <c r="J3" s="20"/>
      <c r="K3" s="20"/>
    </row>
    <row r="4" spans="1:11" x14ac:dyDescent="0.3">
      <c r="A4" s="5"/>
      <c r="B4" s="18" t="s">
        <v>6</v>
      </c>
      <c r="C4" s="32" t="s">
        <v>91</v>
      </c>
      <c r="D4" s="32"/>
      <c r="E4" s="7"/>
      <c r="F4" s="7"/>
      <c r="G4" s="8"/>
      <c r="I4" s="20" t="s">
        <v>46</v>
      </c>
      <c r="J4" t="s">
        <v>88</v>
      </c>
      <c r="K4" s="20"/>
    </row>
    <row r="5" spans="1:11" x14ac:dyDescent="0.3">
      <c r="A5" s="5"/>
      <c r="B5" s="18"/>
      <c r="C5" s="7"/>
      <c r="D5" s="7"/>
      <c r="E5" s="7"/>
      <c r="F5" s="7"/>
      <c r="G5" s="8"/>
      <c r="I5" s="20"/>
      <c r="J5" t="s">
        <v>89</v>
      </c>
    </row>
    <row r="6" spans="1:11" x14ac:dyDescent="0.3">
      <c r="A6" s="13"/>
      <c r="B6" s="14" t="s">
        <v>0</v>
      </c>
      <c r="C6" s="7" t="s">
        <v>11</v>
      </c>
      <c r="D6" s="7" t="s">
        <v>12</v>
      </c>
      <c r="G6" s="8"/>
      <c r="I6" s="20"/>
      <c r="J6" t="s">
        <v>90</v>
      </c>
    </row>
    <row r="7" spans="1:11" x14ac:dyDescent="0.3">
      <c r="A7" s="5"/>
      <c r="B7" s="14" t="s">
        <v>1</v>
      </c>
      <c r="C7" s="7">
        <v>50</v>
      </c>
      <c r="D7" s="7">
        <v>100</v>
      </c>
      <c r="G7" s="8"/>
      <c r="I7" s="20"/>
      <c r="J7" t="s">
        <v>91</v>
      </c>
    </row>
    <row r="8" spans="1:11" x14ac:dyDescent="0.3">
      <c r="A8" s="5"/>
      <c r="B8" s="14" t="s">
        <v>2</v>
      </c>
      <c r="C8" s="3">
        <v>187.5</v>
      </c>
      <c r="D8" s="3">
        <v>125</v>
      </c>
      <c r="G8" s="8"/>
      <c r="I8" s="20"/>
      <c r="J8" s="16" t="s">
        <v>24</v>
      </c>
    </row>
    <row r="9" spans="1:11" x14ac:dyDescent="0.3">
      <c r="A9" s="5"/>
      <c r="B9" s="14" t="s">
        <v>3</v>
      </c>
      <c r="C9" s="7"/>
      <c r="D9" s="7"/>
      <c r="E9" s="7" t="s">
        <v>14</v>
      </c>
      <c r="F9" s="7"/>
      <c r="G9" s="8"/>
      <c r="I9" s="20"/>
    </row>
    <row r="10" spans="1:11" x14ac:dyDescent="0.3">
      <c r="A10" s="5"/>
      <c r="B10" s="18" t="s">
        <v>4</v>
      </c>
      <c r="C10" s="7">
        <v>10</v>
      </c>
      <c r="D10" s="7">
        <v>5</v>
      </c>
      <c r="E10" s="19">
        <f>SUMPRODUCT($C$8:$D$8,C10:D10)</f>
        <v>2500</v>
      </c>
      <c r="F10" s="7" t="s">
        <v>15</v>
      </c>
      <c r="G10" s="8">
        <v>2500</v>
      </c>
      <c r="I10" s="20"/>
    </row>
    <row r="11" spans="1:11" x14ac:dyDescent="0.3">
      <c r="A11" s="5"/>
      <c r="B11" s="18" t="s">
        <v>5</v>
      </c>
      <c r="C11" s="7">
        <v>4</v>
      </c>
      <c r="D11" s="7">
        <v>10</v>
      </c>
      <c r="E11" s="19">
        <f t="shared" ref="E11:E12" si="0">SUMPRODUCT($C$8:$D$8,C11:D11)</f>
        <v>2000</v>
      </c>
      <c r="F11" s="7" t="s">
        <v>15</v>
      </c>
      <c r="G11" s="8">
        <v>2000</v>
      </c>
      <c r="I11" s="20"/>
      <c r="K11" s="20"/>
    </row>
    <row r="12" spans="1:11" x14ac:dyDescent="0.3">
      <c r="A12" s="5"/>
      <c r="B12" s="18" t="s">
        <v>6</v>
      </c>
      <c r="C12" s="7">
        <v>1</v>
      </c>
      <c r="D12" s="7">
        <v>1.5</v>
      </c>
      <c r="E12" s="19">
        <f t="shared" si="0"/>
        <v>375</v>
      </c>
      <c r="F12" s="7" t="s">
        <v>15</v>
      </c>
      <c r="G12" s="8">
        <v>450</v>
      </c>
      <c r="I12" s="20"/>
      <c r="K12" s="20"/>
    </row>
    <row r="13" spans="1:11" x14ac:dyDescent="0.3">
      <c r="A13" s="5"/>
      <c r="B13" s="18"/>
      <c r="C13" s="7" t="s">
        <v>14</v>
      </c>
      <c r="D13" s="7"/>
      <c r="E13" s="7"/>
      <c r="F13" s="7"/>
      <c r="G13" s="8"/>
    </row>
    <row r="14" spans="1:11" ht="15" thickBot="1" x14ac:dyDescent="0.35">
      <c r="A14" s="9"/>
      <c r="B14" s="22" t="s">
        <v>13</v>
      </c>
      <c r="C14" s="11">
        <f>SUMPRODUCT(C8:D8,C7:D7)</f>
        <v>21875</v>
      </c>
      <c r="D14" s="10"/>
      <c r="E14" s="10"/>
      <c r="F14" s="10"/>
      <c r="G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68A7-7EB2-435E-9CD4-95D5C50CF575}">
  <dimension ref="A1:L18"/>
  <sheetViews>
    <sheetView showGridLines="0" zoomScale="145" zoomScaleNormal="145" workbookViewId="0">
      <selection activeCell="G7" sqref="G7"/>
    </sheetView>
  </sheetViews>
  <sheetFormatPr defaultRowHeight="14.4" x14ac:dyDescent="0.3"/>
  <cols>
    <col min="9" max="10" width="3.77734375" customWidth="1"/>
  </cols>
  <sheetData>
    <row r="1" spans="1:12" ht="15" thickBot="1" x14ac:dyDescent="0.35">
      <c r="A1" s="26" t="s">
        <v>73</v>
      </c>
      <c r="B1" s="27"/>
      <c r="C1" s="4"/>
      <c r="D1" s="4"/>
      <c r="E1" s="4"/>
      <c r="F1" s="4"/>
      <c r="G1" s="4"/>
      <c r="H1" s="17">
        <v>5</v>
      </c>
      <c r="J1" t="s">
        <v>19</v>
      </c>
    </row>
    <row r="2" spans="1:12" x14ac:dyDescent="0.3">
      <c r="A2" s="13" t="s">
        <v>10</v>
      </c>
      <c r="B2" s="18" t="s">
        <v>4</v>
      </c>
      <c r="C2" s="28" t="s">
        <v>67</v>
      </c>
      <c r="D2" s="28"/>
      <c r="E2" s="7"/>
      <c r="F2" s="7"/>
      <c r="G2" s="7"/>
      <c r="H2" s="8"/>
    </row>
    <row r="3" spans="1:12" x14ac:dyDescent="0.3">
      <c r="A3" s="5"/>
      <c r="B3" s="18" t="s">
        <v>5</v>
      </c>
      <c r="C3" s="32" t="s">
        <v>68</v>
      </c>
      <c r="D3" s="32"/>
      <c r="E3" s="7"/>
      <c r="F3" s="7"/>
      <c r="G3" s="7"/>
      <c r="H3" s="8"/>
      <c r="J3" s="20" t="s">
        <v>58</v>
      </c>
      <c r="K3" s="20"/>
      <c r="L3" s="20"/>
    </row>
    <row r="4" spans="1:12" x14ac:dyDescent="0.3">
      <c r="A4" s="5"/>
      <c r="B4" s="18" t="s">
        <v>6</v>
      </c>
      <c r="C4" s="32" t="s">
        <v>69</v>
      </c>
      <c r="D4" s="32"/>
      <c r="E4" s="7"/>
      <c r="F4" s="7"/>
      <c r="G4" s="7"/>
      <c r="H4" s="8"/>
      <c r="J4" s="20" t="s">
        <v>46</v>
      </c>
      <c r="K4" t="s">
        <v>66</v>
      </c>
      <c r="L4" s="20"/>
    </row>
    <row r="5" spans="1:12" x14ac:dyDescent="0.3">
      <c r="A5" s="5"/>
      <c r="B5" s="18" t="s">
        <v>54</v>
      </c>
      <c r="C5" s="21"/>
      <c r="D5" s="2" t="s">
        <v>77</v>
      </c>
      <c r="E5" s="7"/>
      <c r="F5" s="7"/>
      <c r="G5" s="7"/>
      <c r="H5" s="8"/>
      <c r="J5" s="20"/>
      <c r="K5" t="s">
        <v>67</v>
      </c>
      <c r="L5" s="20"/>
    </row>
    <row r="6" spans="1:12" x14ac:dyDescent="0.3">
      <c r="A6" s="5"/>
      <c r="B6" s="18" t="s">
        <v>55</v>
      </c>
      <c r="C6" s="21"/>
      <c r="D6" s="2" t="s">
        <v>78</v>
      </c>
      <c r="E6" s="7"/>
      <c r="F6" s="7"/>
      <c r="G6" s="7"/>
      <c r="H6" s="8"/>
      <c r="J6" s="20"/>
      <c r="K6" t="s">
        <v>68</v>
      </c>
      <c r="L6" s="20"/>
    </row>
    <row r="7" spans="1:12" x14ac:dyDescent="0.3">
      <c r="A7" s="5"/>
      <c r="B7" s="18"/>
      <c r="C7" s="7"/>
      <c r="D7" s="7"/>
      <c r="E7" s="7"/>
      <c r="F7" s="7"/>
      <c r="G7" s="7"/>
      <c r="H7" s="8"/>
      <c r="J7" s="20"/>
      <c r="K7" t="s">
        <v>69</v>
      </c>
    </row>
    <row r="8" spans="1:12" x14ac:dyDescent="0.3">
      <c r="A8" s="13"/>
      <c r="B8" s="14" t="s">
        <v>0</v>
      </c>
      <c r="C8" s="7" t="s">
        <v>74</v>
      </c>
      <c r="D8" s="7" t="s">
        <v>75</v>
      </c>
      <c r="E8" s="7" t="s">
        <v>76</v>
      </c>
      <c r="F8" s="7"/>
      <c r="H8" s="8"/>
      <c r="J8" s="20"/>
      <c r="K8" t="s">
        <v>70</v>
      </c>
    </row>
    <row r="9" spans="1:12" x14ac:dyDescent="0.3">
      <c r="A9" s="5"/>
      <c r="B9" s="14" t="s">
        <v>1</v>
      </c>
      <c r="C9" s="7">
        <v>50</v>
      </c>
      <c r="D9" s="7">
        <v>70</v>
      </c>
      <c r="E9" s="7">
        <v>100</v>
      </c>
      <c r="F9" s="7"/>
      <c r="H9" s="8"/>
      <c r="J9" s="20"/>
      <c r="K9" t="s">
        <v>71</v>
      </c>
    </row>
    <row r="10" spans="1:12" x14ac:dyDescent="0.3">
      <c r="A10" s="5"/>
      <c r="B10" s="14" t="s">
        <v>2</v>
      </c>
      <c r="C10" s="3">
        <v>4</v>
      </c>
      <c r="D10" s="3">
        <v>4</v>
      </c>
      <c r="E10" s="3">
        <v>2</v>
      </c>
      <c r="F10" s="7"/>
      <c r="H10" s="8"/>
      <c r="J10" s="20"/>
      <c r="K10" t="s">
        <v>72</v>
      </c>
    </row>
    <row r="11" spans="1:12" x14ac:dyDescent="0.3">
      <c r="A11" s="5"/>
      <c r="B11" s="14" t="s">
        <v>3</v>
      </c>
      <c r="C11" s="7"/>
      <c r="D11" s="7"/>
      <c r="F11" s="7" t="s">
        <v>14</v>
      </c>
      <c r="G11" s="7"/>
      <c r="H11" s="8"/>
      <c r="J11" s="20"/>
    </row>
    <row r="12" spans="1:12" x14ac:dyDescent="0.3">
      <c r="A12" s="5"/>
      <c r="B12" s="18" t="s">
        <v>4</v>
      </c>
      <c r="C12" s="7">
        <v>1</v>
      </c>
      <c r="D12" s="7">
        <v>0</v>
      </c>
      <c r="E12">
        <v>0</v>
      </c>
      <c r="F12" s="19">
        <f>SUMPRODUCT($C$10:$E$10,C12:E12)</f>
        <v>4</v>
      </c>
      <c r="G12" s="7" t="s">
        <v>15</v>
      </c>
      <c r="H12" s="8">
        <v>4</v>
      </c>
      <c r="J12" s="20"/>
    </row>
    <row r="13" spans="1:12" x14ac:dyDescent="0.3">
      <c r="A13" s="5"/>
      <c r="B13" s="18" t="s">
        <v>5</v>
      </c>
      <c r="C13" s="7">
        <v>0</v>
      </c>
      <c r="D13" s="7">
        <v>1</v>
      </c>
      <c r="E13">
        <v>0</v>
      </c>
      <c r="F13" s="19">
        <f t="shared" ref="F13:F16" si="0">SUMPRODUCT($C$10:$E$10,C13:E13)</f>
        <v>4</v>
      </c>
      <c r="G13" s="7" t="s">
        <v>15</v>
      </c>
      <c r="H13" s="8">
        <v>8</v>
      </c>
      <c r="J13" s="20"/>
      <c r="K13" s="20"/>
      <c r="L13" s="20"/>
    </row>
    <row r="14" spans="1:12" x14ac:dyDescent="0.3">
      <c r="A14" s="5"/>
      <c r="B14" s="18" t="s">
        <v>6</v>
      </c>
      <c r="C14" s="7">
        <v>0</v>
      </c>
      <c r="D14" s="7">
        <v>0</v>
      </c>
      <c r="E14">
        <v>1</v>
      </c>
      <c r="F14" s="19">
        <f t="shared" si="0"/>
        <v>2</v>
      </c>
      <c r="G14" s="7" t="s">
        <v>15</v>
      </c>
      <c r="H14" s="8">
        <v>3</v>
      </c>
      <c r="J14" s="20"/>
      <c r="K14" s="20"/>
      <c r="L14" s="20"/>
    </row>
    <row r="15" spans="1:12" x14ac:dyDescent="0.3">
      <c r="A15" s="5"/>
      <c r="B15" s="18" t="s">
        <v>54</v>
      </c>
      <c r="C15" s="7">
        <v>1</v>
      </c>
      <c r="D15" s="7">
        <v>1</v>
      </c>
      <c r="E15">
        <v>1</v>
      </c>
      <c r="F15" s="19">
        <f t="shared" si="0"/>
        <v>10</v>
      </c>
      <c r="G15" s="7" t="s">
        <v>15</v>
      </c>
      <c r="H15" s="8">
        <v>10</v>
      </c>
      <c r="J15" s="20"/>
      <c r="K15" s="20"/>
      <c r="L15" s="20"/>
    </row>
    <row r="16" spans="1:12" x14ac:dyDescent="0.3">
      <c r="A16" s="5"/>
      <c r="B16" s="18" t="s">
        <v>55</v>
      </c>
      <c r="C16" s="7">
        <v>1</v>
      </c>
      <c r="D16" s="7">
        <v>2</v>
      </c>
      <c r="E16">
        <v>3</v>
      </c>
      <c r="F16" s="19">
        <f t="shared" si="0"/>
        <v>18</v>
      </c>
      <c r="G16" s="7" t="s">
        <v>15</v>
      </c>
      <c r="H16" s="8">
        <v>18</v>
      </c>
    </row>
    <row r="17" spans="1:8" x14ac:dyDescent="0.3">
      <c r="A17" s="5"/>
      <c r="B17" s="18"/>
      <c r="C17" s="7" t="s">
        <v>14</v>
      </c>
      <c r="D17" s="7"/>
      <c r="E17" s="7"/>
      <c r="F17" s="7"/>
      <c r="G17" s="7"/>
      <c r="H17" s="8"/>
    </row>
    <row r="18" spans="1:8" ht="15" thickBot="1" x14ac:dyDescent="0.35">
      <c r="A18" s="9"/>
      <c r="B18" s="22" t="s">
        <v>13</v>
      </c>
      <c r="C18" s="11">
        <f>SUMPRODUCT(C10:E10,C9:E9)</f>
        <v>680</v>
      </c>
      <c r="D18" s="10"/>
      <c r="E18" s="10"/>
      <c r="F18" s="10"/>
      <c r="G18" s="10"/>
      <c r="H18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F5A3-BF44-4566-AA93-57A80A1D61C4}">
  <dimension ref="A1:K14"/>
  <sheetViews>
    <sheetView showGridLines="0" topLeftCell="A4" zoomScale="145" zoomScaleNormal="145" workbookViewId="0">
      <selection activeCell="E16" sqref="E16"/>
    </sheetView>
  </sheetViews>
  <sheetFormatPr defaultRowHeight="14.4" x14ac:dyDescent="0.3"/>
  <cols>
    <col min="3" max="3" width="14.5546875" customWidth="1"/>
    <col min="4" max="5" width="15.44140625" customWidth="1"/>
    <col min="9" max="10" width="3.77734375" customWidth="1"/>
  </cols>
  <sheetData>
    <row r="1" spans="1:11" ht="15" thickBot="1" x14ac:dyDescent="0.35">
      <c r="A1" s="26" t="s">
        <v>86</v>
      </c>
      <c r="B1" s="27"/>
      <c r="C1" s="27"/>
      <c r="D1" s="4"/>
      <c r="E1" s="4"/>
      <c r="F1" s="4"/>
      <c r="G1" s="4"/>
      <c r="H1" s="17">
        <v>6</v>
      </c>
      <c r="J1" t="s">
        <v>19</v>
      </c>
    </row>
    <row r="2" spans="1:11" x14ac:dyDescent="0.3">
      <c r="A2" s="13" t="s">
        <v>10</v>
      </c>
      <c r="B2" s="18" t="s">
        <v>4</v>
      </c>
      <c r="C2" s="2" t="s">
        <v>79</v>
      </c>
      <c r="D2" s="18"/>
      <c r="E2" s="18"/>
      <c r="F2" s="7"/>
      <c r="G2" s="7"/>
      <c r="H2" s="8"/>
    </row>
    <row r="3" spans="1:11" x14ac:dyDescent="0.3">
      <c r="A3" s="5"/>
      <c r="B3" s="18" t="s">
        <v>5</v>
      </c>
      <c r="C3" s="18" t="s">
        <v>84</v>
      </c>
      <c r="D3" s="18"/>
      <c r="E3" s="21"/>
      <c r="F3" s="7"/>
      <c r="G3" s="7"/>
      <c r="H3" s="8"/>
      <c r="J3" s="20" t="s">
        <v>65</v>
      </c>
      <c r="K3" s="20"/>
    </row>
    <row r="4" spans="1:11" x14ac:dyDescent="0.3">
      <c r="A4" s="5"/>
      <c r="B4" s="18" t="s">
        <v>6</v>
      </c>
      <c r="C4" s="21" t="s">
        <v>85</v>
      </c>
      <c r="D4" s="21"/>
      <c r="E4" s="21"/>
      <c r="F4" s="7"/>
      <c r="G4" s="7"/>
      <c r="H4" s="8"/>
      <c r="J4" s="20" t="s">
        <v>46</v>
      </c>
      <c r="K4" t="s">
        <v>87</v>
      </c>
    </row>
    <row r="5" spans="1:11" x14ac:dyDescent="0.3">
      <c r="A5" s="5"/>
      <c r="B5" s="18"/>
      <c r="C5" s="7"/>
      <c r="D5" s="7"/>
      <c r="E5" s="7"/>
      <c r="F5" s="7"/>
      <c r="G5" s="7"/>
      <c r="H5" s="8"/>
      <c r="J5" s="20"/>
      <c r="K5" t="s">
        <v>79</v>
      </c>
    </row>
    <row r="6" spans="1:11" x14ac:dyDescent="0.3">
      <c r="A6" s="13"/>
      <c r="B6" s="14" t="s">
        <v>0</v>
      </c>
      <c r="C6" s="7" t="s">
        <v>81</v>
      </c>
      <c r="D6" s="7" t="s">
        <v>82</v>
      </c>
      <c r="E6" s="7" t="s">
        <v>83</v>
      </c>
      <c r="H6" s="8"/>
      <c r="J6" s="20"/>
      <c r="K6" t="s">
        <v>84</v>
      </c>
    </row>
    <row r="7" spans="1:11" x14ac:dyDescent="0.3">
      <c r="A7" s="5"/>
      <c r="B7" s="14" t="s">
        <v>1</v>
      </c>
      <c r="C7" s="7">
        <v>300</v>
      </c>
      <c r="D7" s="7">
        <v>400</v>
      </c>
      <c r="E7" s="7">
        <v>500</v>
      </c>
      <c r="H7" s="8"/>
      <c r="J7" s="20"/>
      <c r="K7" t="s">
        <v>85</v>
      </c>
    </row>
    <row r="8" spans="1:11" x14ac:dyDescent="0.3">
      <c r="A8" s="5"/>
      <c r="B8" s="14" t="s">
        <v>2</v>
      </c>
      <c r="C8" s="3">
        <v>36.25</v>
      </c>
      <c r="D8" s="3">
        <v>0</v>
      </c>
      <c r="E8" s="3">
        <v>63.75</v>
      </c>
      <c r="H8" s="8"/>
      <c r="J8" s="20"/>
      <c r="K8" t="s">
        <v>80</v>
      </c>
    </row>
    <row r="9" spans="1:11" x14ac:dyDescent="0.3">
      <c r="A9" s="5"/>
      <c r="B9" s="14" t="s">
        <v>3</v>
      </c>
      <c r="C9" s="7"/>
      <c r="D9" s="7"/>
      <c r="E9" s="7"/>
      <c r="F9" s="7" t="s">
        <v>14</v>
      </c>
      <c r="G9" s="7"/>
      <c r="H9" s="8"/>
      <c r="J9" s="20"/>
    </row>
    <row r="10" spans="1:11" x14ac:dyDescent="0.3">
      <c r="A10" s="5"/>
      <c r="B10" s="18" t="s">
        <v>4</v>
      </c>
      <c r="C10" s="7">
        <v>1</v>
      </c>
      <c r="D10" s="7">
        <v>1</v>
      </c>
      <c r="E10" s="7">
        <v>1</v>
      </c>
      <c r="F10" s="19">
        <f>SUMPRODUCT($C$8:$E$8,C10:E10)</f>
        <v>100</v>
      </c>
      <c r="G10" s="7" t="s">
        <v>15</v>
      </c>
      <c r="H10" s="8">
        <v>100</v>
      </c>
      <c r="J10" s="20"/>
    </row>
    <row r="11" spans="1:11" x14ac:dyDescent="0.3">
      <c r="A11" s="5"/>
      <c r="B11" s="18" t="s">
        <v>5</v>
      </c>
      <c r="C11" s="7">
        <v>0</v>
      </c>
      <c r="D11" s="7">
        <v>1</v>
      </c>
      <c r="E11" s="7">
        <v>2</v>
      </c>
      <c r="F11" s="19">
        <f>SUMPRODUCT($C$8:$E$8,C11:E11)</f>
        <v>127.5</v>
      </c>
      <c r="G11" s="7" t="s">
        <v>15</v>
      </c>
      <c r="H11" s="8">
        <v>127.5</v>
      </c>
      <c r="J11" s="20"/>
      <c r="K11" s="20"/>
    </row>
    <row r="12" spans="1:11" x14ac:dyDescent="0.3">
      <c r="A12" s="5"/>
      <c r="B12" s="18" t="s">
        <v>6</v>
      </c>
      <c r="C12" s="7">
        <v>0</v>
      </c>
      <c r="D12" s="7">
        <v>1</v>
      </c>
      <c r="E12" s="7">
        <v>1</v>
      </c>
      <c r="F12" s="19">
        <f>SUMPRODUCT($C$8:$E$8,C12:E12)</f>
        <v>63.75</v>
      </c>
      <c r="G12" s="7" t="s">
        <v>15</v>
      </c>
      <c r="H12" s="8">
        <v>100</v>
      </c>
      <c r="J12" s="20"/>
      <c r="K12" s="20"/>
    </row>
    <row r="13" spans="1:11" x14ac:dyDescent="0.3">
      <c r="A13" s="5"/>
      <c r="B13" s="18"/>
      <c r="C13" s="7" t="s">
        <v>14</v>
      </c>
      <c r="D13" s="7"/>
      <c r="E13" s="7"/>
      <c r="F13" s="7"/>
      <c r="G13" s="7"/>
      <c r="H13" s="8"/>
    </row>
    <row r="14" spans="1:11" ht="15" thickBot="1" x14ac:dyDescent="0.35">
      <c r="A14" s="9"/>
      <c r="B14" s="22" t="s">
        <v>13</v>
      </c>
      <c r="C14" s="11">
        <f>SUMPRODUCT(C8:E8,C7:E7)</f>
        <v>42750</v>
      </c>
      <c r="D14" s="10"/>
      <c r="E14" s="10"/>
      <c r="F14" s="10"/>
      <c r="G14" s="10"/>
      <c r="H14" s="12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FEBD-034E-46C1-BBCE-8C3DA684AB47}">
  <dimension ref="A1:M22"/>
  <sheetViews>
    <sheetView showGridLines="0" tabSelected="1" zoomScale="145" zoomScaleNormal="145" workbookViewId="0">
      <selection activeCell="D17" sqref="D17"/>
    </sheetView>
  </sheetViews>
  <sheetFormatPr defaultRowHeight="14.4" x14ac:dyDescent="0.3"/>
  <cols>
    <col min="3" max="3" width="25.21875" customWidth="1"/>
    <col min="4" max="5" width="15.44140625" customWidth="1"/>
    <col min="9" max="10" width="3.77734375" customWidth="1"/>
  </cols>
  <sheetData>
    <row r="1" spans="1:13" ht="15" thickBot="1" x14ac:dyDescent="0.35">
      <c r="A1" s="26" t="s">
        <v>105</v>
      </c>
      <c r="B1" s="27"/>
      <c r="C1" s="27"/>
      <c r="D1" s="4"/>
      <c r="E1" s="4"/>
      <c r="F1" s="4"/>
      <c r="G1" s="4"/>
      <c r="H1" s="17">
        <v>6</v>
      </c>
      <c r="J1" t="s">
        <v>19</v>
      </c>
    </row>
    <row r="2" spans="1:13" x14ac:dyDescent="0.3">
      <c r="A2" s="13" t="s">
        <v>10</v>
      </c>
      <c r="B2" s="23" t="s">
        <v>4</v>
      </c>
      <c r="C2" s="2" t="s">
        <v>101</v>
      </c>
      <c r="D2" s="23"/>
      <c r="E2" s="23"/>
      <c r="F2" s="24"/>
      <c r="G2" s="24"/>
      <c r="H2" s="8"/>
    </row>
    <row r="3" spans="1:13" x14ac:dyDescent="0.3">
      <c r="A3" s="5"/>
      <c r="B3" s="23" t="s">
        <v>5</v>
      </c>
      <c r="C3" s="23" t="s">
        <v>102</v>
      </c>
      <c r="D3" s="23"/>
      <c r="E3" s="25"/>
      <c r="F3" s="24"/>
      <c r="G3" s="24"/>
      <c r="H3" s="8"/>
      <c r="J3" s="20" t="s">
        <v>65</v>
      </c>
      <c r="K3" s="20"/>
    </row>
    <row r="4" spans="1:13" x14ac:dyDescent="0.3">
      <c r="A4" s="5"/>
      <c r="B4" s="23"/>
      <c r="C4" s="25"/>
      <c r="D4" s="25"/>
      <c r="E4" s="25"/>
      <c r="F4" s="24"/>
      <c r="G4" s="24"/>
      <c r="H4" s="8"/>
      <c r="J4" s="20" t="s">
        <v>46</v>
      </c>
      <c r="K4" t="s">
        <v>87</v>
      </c>
    </row>
    <row r="5" spans="1:13" x14ac:dyDescent="0.3">
      <c r="A5" s="5"/>
      <c r="B5" s="23"/>
      <c r="C5" s="24"/>
      <c r="D5" s="24"/>
      <c r="E5" s="24"/>
      <c r="F5" s="24"/>
      <c r="G5" s="24"/>
      <c r="H5" s="8"/>
      <c r="J5" s="20"/>
      <c r="K5" t="s">
        <v>79</v>
      </c>
    </row>
    <row r="6" spans="1:13" x14ac:dyDescent="0.3">
      <c r="A6" s="13"/>
      <c r="B6" s="14" t="s">
        <v>0</v>
      </c>
      <c r="C6" s="24" t="s">
        <v>106</v>
      </c>
      <c r="D6" s="24" t="s">
        <v>76</v>
      </c>
      <c r="E6" s="24" t="s">
        <v>107</v>
      </c>
      <c r="H6" s="8"/>
      <c r="J6" s="20"/>
      <c r="K6" t="s">
        <v>84</v>
      </c>
    </row>
    <row r="7" spans="1:13" x14ac:dyDescent="0.3">
      <c r="A7" s="5"/>
      <c r="B7" s="14" t="s">
        <v>1</v>
      </c>
      <c r="C7" s="24">
        <v>5</v>
      </c>
      <c r="D7" s="24">
        <v>3</v>
      </c>
      <c r="E7" s="24">
        <v>7</v>
      </c>
      <c r="H7" s="8"/>
      <c r="J7" s="20"/>
      <c r="K7" t="s">
        <v>85</v>
      </c>
    </row>
    <row r="8" spans="1:13" x14ac:dyDescent="0.3">
      <c r="A8" s="5"/>
      <c r="B8" s="14" t="s">
        <v>2</v>
      </c>
      <c r="C8" s="3">
        <v>50.303030303030219</v>
      </c>
      <c r="D8" s="3">
        <v>0</v>
      </c>
      <c r="E8" s="3">
        <v>108.78787878787884</v>
      </c>
      <c r="H8" s="8"/>
      <c r="J8" s="20"/>
      <c r="K8" t="s">
        <v>80</v>
      </c>
    </row>
    <row r="9" spans="1:13" x14ac:dyDescent="0.3">
      <c r="A9" s="5"/>
      <c r="B9" s="14" t="s">
        <v>3</v>
      </c>
      <c r="C9" s="24"/>
      <c r="D9" s="24"/>
      <c r="E9" s="24"/>
      <c r="F9" s="24" t="s">
        <v>14</v>
      </c>
      <c r="G9" s="24"/>
      <c r="H9" s="8"/>
      <c r="J9" s="20"/>
    </row>
    <row r="10" spans="1:13" x14ac:dyDescent="0.3">
      <c r="A10" s="5"/>
      <c r="B10" s="23" t="s">
        <v>4</v>
      </c>
      <c r="C10" s="24">
        <v>1.1000000000000001</v>
      </c>
      <c r="D10" s="24">
        <v>0.45</v>
      </c>
      <c r="E10" s="24">
        <v>1.1000000000000001</v>
      </c>
      <c r="F10" s="19">
        <f>SUMPRODUCT($C$8:$E$8,C10:E10)</f>
        <v>174.99999999999997</v>
      </c>
      <c r="G10" s="24" t="s">
        <v>15</v>
      </c>
      <c r="H10" s="8">
        <v>175</v>
      </c>
      <c r="J10" s="20" t="s">
        <v>93</v>
      </c>
    </row>
    <row r="11" spans="1:13" x14ac:dyDescent="0.3">
      <c r="A11" s="5"/>
      <c r="B11" s="23" t="s">
        <v>5</v>
      </c>
      <c r="C11" s="24">
        <v>35</v>
      </c>
      <c r="D11" s="24">
        <v>26</v>
      </c>
      <c r="E11" s="24">
        <v>50</v>
      </c>
      <c r="F11" s="19">
        <f>SUMPRODUCT($C$8:$E$8,C11:E11)</f>
        <v>7200</v>
      </c>
      <c r="G11" s="24" t="s">
        <v>15</v>
      </c>
      <c r="H11" s="8">
        <v>7200</v>
      </c>
      <c r="J11" s="20" t="s">
        <v>94</v>
      </c>
      <c r="K11" s="20"/>
    </row>
    <row r="12" spans="1:13" x14ac:dyDescent="0.3">
      <c r="A12" s="5"/>
      <c r="B12" s="23"/>
      <c r="C12" s="24"/>
      <c r="D12" s="24"/>
      <c r="E12" s="24"/>
      <c r="F12" s="19">
        <v>0</v>
      </c>
      <c r="G12" s="24"/>
      <c r="H12" s="8">
        <v>0</v>
      </c>
      <c r="J12" s="20" t="s">
        <v>95</v>
      </c>
      <c r="K12" s="20"/>
    </row>
    <row r="13" spans="1:13" x14ac:dyDescent="0.3">
      <c r="A13" s="5"/>
      <c r="B13" s="23"/>
      <c r="C13" s="24" t="s">
        <v>14</v>
      </c>
      <c r="D13" s="24"/>
      <c r="E13" s="24"/>
      <c r="F13" s="24"/>
      <c r="G13" s="24"/>
      <c r="H13" s="8"/>
    </row>
    <row r="14" spans="1:13" ht="15" thickBot="1" x14ac:dyDescent="0.35">
      <c r="A14" s="9"/>
      <c r="B14" s="22" t="s">
        <v>13</v>
      </c>
      <c r="C14" s="11">
        <f>SUMPRODUCT(C8:E8,C7:E7)</f>
        <v>1013.030303030303</v>
      </c>
      <c r="D14" s="10"/>
      <c r="E14" s="10"/>
      <c r="F14" s="10"/>
      <c r="G14" s="10"/>
      <c r="H14" s="12"/>
      <c r="J14" t="s">
        <v>96</v>
      </c>
    </row>
    <row r="16" spans="1:13" x14ac:dyDescent="0.3">
      <c r="C16">
        <f>50*5</f>
        <v>250</v>
      </c>
      <c r="D16">
        <f>0*3</f>
        <v>0</v>
      </c>
      <c r="E16">
        <f>108*7</f>
        <v>756</v>
      </c>
      <c r="J16" t="s">
        <v>97</v>
      </c>
      <c r="M16" t="s">
        <v>101</v>
      </c>
    </row>
    <row r="17" spans="3:13" x14ac:dyDescent="0.3">
      <c r="J17" t="s">
        <v>98</v>
      </c>
      <c r="M17" t="s">
        <v>102</v>
      </c>
    </row>
    <row r="18" spans="3:13" x14ac:dyDescent="0.3">
      <c r="C18">
        <f>C16+D16+E16</f>
        <v>1006</v>
      </c>
      <c r="J18" t="s">
        <v>99</v>
      </c>
    </row>
    <row r="20" spans="3:13" x14ac:dyDescent="0.3">
      <c r="J20" t="s">
        <v>100</v>
      </c>
    </row>
    <row r="21" spans="3:13" x14ac:dyDescent="0.3">
      <c r="J21" t="s">
        <v>103</v>
      </c>
    </row>
    <row r="22" spans="3:13" x14ac:dyDescent="0.3">
      <c r="J22" t="s">
        <v>104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Exemplo</vt:lpstr>
      <vt:lpstr>1A</vt:lpstr>
      <vt:lpstr>1B</vt:lpstr>
      <vt:lpstr>1C</vt:lpstr>
      <vt:lpstr>2</vt:lpstr>
      <vt:lpstr>3</vt:lpstr>
      <vt:lpstr>4</vt:lpstr>
      <vt:lpstr>5</vt:lpstr>
      <vt:lpstr>6</vt:lpstr>
      <vt:lpstr>6 (2)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2025-09-08T22:49:31Z</dcterms:created>
  <dcterms:modified xsi:type="dcterms:W3CDTF">2025-09-29T23:15:51Z</dcterms:modified>
</cp:coreProperties>
</file>