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ssoas\Bruno.Araujo\CDN_OCAN\Exercicios\"/>
    </mc:Choice>
  </mc:AlternateContent>
  <xr:revisionPtr revIDLastSave="0" documentId="13_ncr:1_{D463E5FC-90F6-4171-AFC6-F213A8DBA372}" xr6:coauthVersionLast="36" xr6:coauthVersionMax="36" xr10:uidLastSave="{00000000-0000-0000-0000-000000000000}"/>
  <bookViews>
    <workbookView xWindow="0" yWindow="0" windowWidth="23040" windowHeight="9204" activeTab="5" xr2:uid="{A6E17CEE-8874-4958-86EE-43139663E80C}"/>
  </bookViews>
  <sheets>
    <sheet name="Exemplo 1" sheetId="2" r:id="rId1"/>
    <sheet name="Exemplo 2" sheetId="1" r:id="rId2"/>
    <sheet name="EXERCICIO 1" sheetId="3" r:id="rId3"/>
    <sheet name="EXERCICIO 2" sheetId="4" r:id="rId4"/>
    <sheet name="EXERCICIO 3B" sheetId="5" r:id="rId5"/>
    <sheet name="LA EXER 4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6" l="1"/>
  <c r="K10" i="6"/>
  <c r="K6" i="6"/>
  <c r="K5" i="6"/>
  <c r="K4" i="6"/>
  <c r="J51" i="5" l="1"/>
  <c r="K51" i="5"/>
  <c r="L51" i="5"/>
  <c r="M51" i="5"/>
  <c r="N51" i="5"/>
  <c r="J52" i="5"/>
  <c r="K52" i="5"/>
  <c r="K53" i="5" s="1"/>
  <c r="L52" i="5"/>
  <c r="M52" i="5"/>
  <c r="M50" i="5" s="1"/>
  <c r="N52" i="5"/>
  <c r="N50" i="5" s="1"/>
  <c r="H50" i="5"/>
  <c r="H53" i="5"/>
  <c r="H51" i="5"/>
  <c r="J53" i="5"/>
  <c r="L53" i="5"/>
  <c r="M53" i="5"/>
  <c r="N53" i="5"/>
  <c r="J50" i="5"/>
  <c r="K50" i="5"/>
  <c r="L50" i="5"/>
  <c r="I53" i="5"/>
  <c r="I50" i="5"/>
  <c r="I51" i="5"/>
  <c r="H52" i="5"/>
  <c r="I52" i="5"/>
  <c r="O45" i="5"/>
  <c r="O46" i="5"/>
  <c r="O44" i="5"/>
  <c r="I39" i="5"/>
  <c r="J39" i="5"/>
  <c r="K39" i="5"/>
  <c r="L39" i="5"/>
  <c r="M39" i="5"/>
  <c r="N39" i="5"/>
  <c r="I40" i="5"/>
  <c r="J40" i="5"/>
  <c r="K40" i="5"/>
  <c r="L40" i="5"/>
  <c r="M40" i="5"/>
  <c r="N40" i="5"/>
  <c r="I41" i="5"/>
  <c r="J41" i="5"/>
  <c r="K41" i="5"/>
  <c r="L41" i="5"/>
  <c r="M41" i="5"/>
  <c r="N41" i="5"/>
  <c r="H39" i="5"/>
  <c r="H41" i="5"/>
  <c r="H40" i="5"/>
  <c r="I38" i="5"/>
  <c r="J38" i="5"/>
  <c r="K38" i="5"/>
  <c r="L38" i="5"/>
  <c r="M38" i="5"/>
  <c r="N38" i="5"/>
  <c r="H38" i="5"/>
  <c r="O33" i="5"/>
  <c r="O34" i="5"/>
  <c r="O32" i="5"/>
  <c r="H26" i="5"/>
  <c r="I26" i="5"/>
  <c r="H27" i="5"/>
  <c r="I27" i="5"/>
  <c r="H29" i="5"/>
  <c r="I29" i="5"/>
  <c r="K29" i="5"/>
  <c r="L29" i="5"/>
  <c r="M29" i="5"/>
  <c r="N29" i="5"/>
  <c r="K27" i="5"/>
  <c r="L27" i="5"/>
  <c r="M27" i="5"/>
  <c r="N27" i="5"/>
  <c r="J27" i="5"/>
  <c r="K26" i="5"/>
  <c r="L26" i="5"/>
  <c r="M26" i="5"/>
  <c r="N26" i="5"/>
  <c r="J29" i="5"/>
  <c r="J26" i="5"/>
  <c r="H28" i="5"/>
  <c r="I28" i="5"/>
  <c r="K28" i="5"/>
  <c r="L28" i="5"/>
  <c r="M28" i="5"/>
  <c r="N28" i="5"/>
  <c r="J28" i="5"/>
  <c r="O21" i="5"/>
  <c r="O22" i="5"/>
  <c r="O20" i="5"/>
  <c r="Q21" i="4"/>
  <c r="R21" i="4"/>
  <c r="S21" i="4"/>
  <c r="T21" i="4"/>
  <c r="Q19" i="4"/>
  <c r="R19" i="4"/>
  <c r="S19" i="4"/>
  <c r="T19" i="4"/>
  <c r="P21" i="4"/>
  <c r="P19" i="4"/>
  <c r="Q20" i="4"/>
  <c r="R20" i="4"/>
  <c r="S20" i="4"/>
  <c r="T20" i="4"/>
  <c r="P20" i="4"/>
  <c r="U15" i="4"/>
  <c r="U14" i="4"/>
  <c r="P11" i="4"/>
  <c r="R11" i="4"/>
  <c r="S11" i="4"/>
  <c r="T11" i="4"/>
  <c r="Q11" i="4"/>
  <c r="P10" i="4"/>
  <c r="R10" i="4"/>
  <c r="S10" i="4"/>
  <c r="T10" i="4"/>
  <c r="Q10" i="4"/>
  <c r="R9" i="4"/>
  <c r="S9" i="4"/>
  <c r="T9" i="4"/>
  <c r="P9" i="4"/>
  <c r="Q9" i="4"/>
  <c r="F21" i="4"/>
  <c r="G21" i="4"/>
  <c r="H21" i="4"/>
  <c r="I21" i="4"/>
  <c r="E21" i="4"/>
  <c r="F19" i="4"/>
  <c r="G19" i="4"/>
  <c r="H19" i="4"/>
  <c r="I19" i="4"/>
  <c r="E19" i="4"/>
  <c r="F20" i="4"/>
  <c r="G20" i="4"/>
  <c r="H20" i="4"/>
  <c r="I20" i="4"/>
  <c r="E20" i="4"/>
  <c r="J15" i="4"/>
  <c r="J14" i="4"/>
  <c r="E11" i="4"/>
  <c r="G11" i="4"/>
  <c r="H11" i="4"/>
  <c r="I11" i="4"/>
  <c r="F11" i="4"/>
  <c r="E10" i="4"/>
  <c r="G10" i="4"/>
  <c r="H10" i="4"/>
  <c r="I10" i="4"/>
  <c r="F10" i="4"/>
  <c r="F9" i="4"/>
  <c r="G9" i="4"/>
  <c r="H9" i="4"/>
  <c r="I9" i="4"/>
  <c r="E9" i="4"/>
  <c r="U5" i="4"/>
  <c r="U4" i="4"/>
  <c r="J5" i="4"/>
  <c r="J4" i="4"/>
  <c r="D21" i="1" l="1"/>
  <c r="E21" i="1"/>
  <c r="F21" i="1"/>
  <c r="G21" i="1"/>
  <c r="G22" i="1" s="1"/>
  <c r="C21" i="1"/>
  <c r="C22" i="1" s="1"/>
  <c r="D22" i="1"/>
  <c r="E22" i="1"/>
  <c r="F22" i="1"/>
  <c r="D20" i="1"/>
  <c r="E20" i="1"/>
  <c r="F20" i="1"/>
  <c r="G20" i="1"/>
  <c r="C20" i="1"/>
  <c r="H16" i="1"/>
  <c r="H15" i="1"/>
  <c r="D12" i="1"/>
  <c r="D11" i="1"/>
  <c r="E11" i="1"/>
  <c r="F11" i="1"/>
  <c r="D10" i="1"/>
  <c r="E10" i="1"/>
  <c r="E12" i="1" s="1"/>
  <c r="F10" i="1"/>
  <c r="F12" i="1" s="1"/>
  <c r="G10" i="1"/>
  <c r="G11" i="1" s="1"/>
  <c r="C10" i="1"/>
  <c r="C11" i="1" s="1"/>
  <c r="H6" i="1"/>
  <c r="H5" i="1"/>
  <c r="C12" i="1" l="1"/>
  <c r="G12" i="1"/>
</calcChain>
</file>

<file path=xl/sharedStrings.xml><?xml version="1.0" encoding="utf-8"?>
<sst xmlns="http://schemas.openxmlformats.org/spreadsheetml/2006/main" count="370" uniqueCount="132">
  <si>
    <t>BASE</t>
  </si>
  <si>
    <t>x</t>
  </si>
  <si>
    <t>y</t>
  </si>
  <si>
    <t>F1</t>
  </si>
  <si>
    <t>F2</t>
  </si>
  <si>
    <t>Res</t>
  </si>
  <si>
    <t>EXEMPLO 2</t>
  </si>
  <si>
    <t>L</t>
  </si>
  <si>
    <t>Primal</t>
  </si>
  <si>
    <t>x=100</t>
  </si>
  <si>
    <t>y=40</t>
  </si>
  <si>
    <t>L=820</t>
  </si>
  <si>
    <t>Dual</t>
  </si>
  <si>
    <t>x=0,07 (F1)</t>
  </si>
  <si>
    <t>y=0,04 (F2)</t>
  </si>
  <si>
    <t>Exemplo 2</t>
  </si>
  <si>
    <t>F.O --&gt;</t>
  </si>
  <si>
    <t>5P + 8M</t>
  </si>
  <si>
    <t xml:space="preserve">Restr. </t>
  </si>
  <si>
    <t>60P + 100M &lt;= 10000</t>
  </si>
  <si>
    <t>0,2P + 0,25M &lt;= 3000</t>
  </si>
  <si>
    <t>P,M &gt;= 0</t>
  </si>
  <si>
    <t>L - 5P - 8M = 0</t>
  </si>
  <si>
    <t>60P + 100M + F1 = 10000</t>
  </si>
  <si>
    <t>20P + 25M + F2 = 3000</t>
  </si>
  <si>
    <t>Exemplo 1</t>
  </si>
  <si>
    <t>20P + 25M &lt;= 3000</t>
  </si>
  <si>
    <t>100P + 25M &gt;= 8</t>
  </si>
  <si>
    <t>Max</t>
  </si>
  <si>
    <t>L = 5P + 8M</t>
  </si>
  <si>
    <t>Rest.</t>
  </si>
  <si>
    <t xml:space="preserve"> 60P + 100M &lt;= 10000</t>
  </si>
  <si>
    <t>Min</t>
  </si>
  <si>
    <t xml:space="preserve"> L = 10000P + 3000M</t>
  </si>
  <si>
    <t xml:space="preserve">Rest </t>
  </si>
  <si>
    <t>60P + 20M &gt;= 5</t>
  </si>
  <si>
    <t>1) Dado o Primal determine o Dual dos seguintes problemas:</t>
  </si>
  <si>
    <t>a) Max Z = 4x + 5y</t>
  </si>
  <si>
    <t>Restrições: 4x + 7y ≤ 336</t>
  </si>
  <si>
    <t xml:space="preserve">                   6x + 3y ≤ 252</t>
  </si>
  <si>
    <t xml:space="preserve">                    x, y ≥ 0</t>
  </si>
  <si>
    <t>b) Min Z = 9x + 8y</t>
  </si>
  <si>
    <t>Restrições: 4x + 2y ≥ 14</t>
  </si>
  <si>
    <t xml:space="preserve">                         2x + 6y ≥ 22</t>
  </si>
  <si>
    <t xml:space="preserve">                           x ≥ 3</t>
  </si>
  <si>
    <t xml:space="preserve">                           x, y ≥ 0</t>
  </si>
  <si>
    <t>c) Max Z = 11x + 14y</t>
  </si>
  <si>
    <t>Restrições: 30x + 40y ≤ 2600</t>
  </si>
  <si>
    <t xml:space="preserve">                         40x + 16y ≤ 1900</t>
  </si>
  <si>
    <t xml:space="preserve">                          x, y ≥ 0</t>
  </si>
  <si>
    <r>
      <t>d)</t>
    </r>
    <r>
      <rPr>
        <sz val="12"/>
        <color theme="1"/>
        <rFont val="Times New Roman"/>
        <family val="1"/>
      </rPr>
      <t xml:space="preserve"> Max Z = 3x + 5y + 4z</t>
    </r>
  </si>
  <si>
    <t>Restrições: 2x + 3y +2z ≤ 19</t>
  </si>
  <si>
    <t xml:space="preserve">                   5x + 4y +z ≤ 28</t>
  </si>
  <si>
    <t xml:space="preserve">                   3x + 3y +5z ≤ 20              </t>
  </si>
  <si>
    <t xml:space="preserve">                    x, y, z ≥ 0</t>
  </si>
  <si>
    <t>Min L = 336P + 252M</t>
  </si>
  <si>
    <t>Restrições: 4P + 6M &gt;= 4</t>
  </si>
  <si>
    <t>7P + 3M &gt;= 5</t>
  </si>
  <si>
    <t>Restrições: 4P + 2M + 1N &lt;= 9</t>
  </si>
  <si>
    <t>2P + 6M &lt;= 8</t>
  </si>
  <si>
    <t>P,M,N &gt;= 0</t>
  </si>
  <si>
    <t>Min L = 2600P + 1900M</t>
  </si>
  <si>
    <t>Restrições: 30P + 40M &gt;= 11</t>
  </si>
  <si>
    <t>40P + 16M &gt;= 14</t>
  </si>
  <si>
    <t>Min L = 14P + 22M + 3N</t>
  </si>
  <si>
    <t>Min L = 19P + 28M + 20N</t>
  </si>
  <si>
    <t>Restrições: 2P + 5M + 3N &gt;= 3</t>
  </si>
  <si>
    <t>3P + 4M + 3N &gt;= 5</t>
  </si>
  <si>
    <t>2P + 1M + 5N &gt;= 4</t>
  </si>
  <si>
    <t>2) Determine os valores do primal e do dual dos modelos a seguir utilizando o algoritmo simplex:</t>
  </si>
  <si>
    <t>L - 4P- 5M = 0</t>
  </si>
  <si>
    <t>4P + 7M + F1 = 336</t>
  </si>
  <si>
    <t>6P + 3M + F2 = 252</t>
  </si>
  <si>
    <t>b) Max Z = 11x + 14y</t>
  </si>
  <si>
    <t>L = -11P - 14M</t>
  </si>
  <si>
    <t>30P + 40M + F1 = 2600</t>
  </si>
  <si>
    <t>40P + 16M + F2 = 1900</t>
  </si>
  <si>
    <t>L=268,8</t>
  </si>
  <si>
    <t>x=0,6 (F1)</t>
  </si>
  <si>
    <t>y=0,26667 (F2)</t>
  </si>
  <si>
    <t>x=0,34286 (F1)</t>
  </si>
  <si>
    <t>y=0,01786 (F2)</t>
  </si>
  <si>
    <t>Recurso</t>
  </si>
  <si>
    <t>Disponível</t>
  </si>
  <si>
    <t>Tecido padronizado (m²)</t>
  </si>
  <si>
    <t>Couro (m²)</t>
  </si>
  <si>
    <t>Horas de trabalho (H/h)</t>
  </si>
  <si>
    <t>F3</t>
  </si>
  <si>
    <t>X</t>
  </si>
  <si>
    <t>Y</t>
  </si>
  <si>
    <t>Z</t>
  </si>
  <si>
    <t>A1</t>
  </si>
  <si>
    <t>A2</t>
  </si>
  <si>
    <t>A3</t>
  </si>
  <si>
    <t>Z=24x​+30y​+31z​</t>
  </si>
  <si>
    <t>x​,y​,z​≥0​</t>
  </si>
  <si>
    <t>L−24x​−30y​−31z​=0</t>
  </si>
  <si>
    <t>x​,y​,z​,F1​,F2​,F3​≥0​</t>
  </si>
  <si>
    <t>​2x​+2,2y​+2,6z​≤2300</t>
  </si>
  <si>
    <t>3) Resolva os problemas abaixo utilizando o método simplex, encontre seu Dual e interprete seu resultado economicamente,</t>
  </si>
  <si>
    <t xml:space="preserve">Restr, </t>
  </si>
  <si>
    <t>1x​+1,2y​+1,3z​≤1250</t>
  </si>
  <si>
    <t>0,4x​+0,6y​+0,95z​≤610</t>
  </si>
  <si>
    <t>F,O →</t>
  </si>
  <si>
    <t>Restr, →</t>
  </si>
  <si>
    <t>2x​+2,2y​+2,6z​+F1​=2300</t>
  </si>
  <si>
    <t>1x​+1,2y​+1,3z​+F2​=1250</t>
  </si>
  <si>
    <t>0,4x​+0,6y​+0,95z​+F3​=610</t>
  </si>
  <si>
    <t>x=118,75</t>
  </si>
  <si>
    <t>y=6,25</t>
  </si>
  <si>
    <t>z=937,5</t>
  </si>
  <si>
    <t>L=30975</t>
  </si>
  <si>
    <t>x=7,5 (F1)</t>
  </si>
  <si>
    <t>y=0 (F2)</t>
  </si>
  <si>
    <t>z=22,5</t>
  </si>
  <si>
    <t>x=25,2</t>
  </si>
  <si>
    <t>y=33,6</t>
  </si>
  <si>
    <t>y=41,96429</t>
  </si>
  <si>
    <t>x=30,71429</t>
  </si>
  <si>
    <t>L=925,3571</t>
  </si>
  <si>
    <t>4) Determine os valores do primal e do dual dos modelos a seguir utilizando o algoritmo simplex:</t>
  </si>
  <si>
    <t xml:space="preserve">                   y ≤ 3 </t>
  </si>
  <si>
    <t xml:space="preserve">                   x, y ≥ 0</t>
  </si>
  <si>
    <t xml:space="preserve">Restrições: x + y ≤ 6  </t>
  </si>
  <si>
    <t xml:space="preserve">                   5x + 9y ≤ 45 </t>
  </si>
  <si>
    <t>y = 3,75</t>
  </si>
  <si>
    <t>Max Z = 5x + 8y</t>
  </si>
  <si>
    <t>x = 3</t>
  </si>
  <si>
    <t>L = 39</t>
  </si>
  <si>
    <t>F1 = 5</t>
  </si>
  <si>
    <t>F2 = 0</t>
  </si>
  <si>
    <t>F3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</si>
</sst>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5" fillId="0" borderId="0" xfId="0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horizontal="right" vertical="center" wrapText="1"/>
    </xf>
    <xf numFmtId="0" fontId="0" fillId="2" borderId="1" xfId="0" applyNumberFormat="1" applyFill="1" applyBorder="1" applyAlignment="1">
      <alignment horizontal="right" vertical="center" wrapText="1"/>
    </xf>
    <xf numFmtId="0" fontId="0" fillId="3" borderId="1" xfId="0" applyNumberFormat="1" applyFill="1" applyBorder="1" applyAlignment="1">
      <alignment horizontal="right" vertical="center" wrapText="1"/>
    </xf>
    <xf numFmtId="12" fontId="0" fillId="0" borderId="1" xfId="0" applyNumberFormat="1" applyFill="1" applyBorder="1"/>
    <xf numFmtId="12" fontId="0" fillId="2" borderId="1" xfId="0" applyNumberFormat="1" applyFill="1" applyBorder="1"/>
    <xf numFmtId="12" fontId="0" fillId="0" borderId="1" xfId="0" applyNumberFormat="1" applyBorder="1"/>
    <xf numFmtId="12" fontId="0" fillId="3" borderId="1" xfId="0" applyNumberFormat="1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2" fontId="0" fillId="0" borderId="1" xfId="0" applyNumberFormat="1" applyFill="1" applyBorder="1" applyAlignment="1">
      <alignment horizontal="center" vertical="center"/>
    </xf>
    <xf numFmtId="12" fontId="0" fillId="2" borderId="1" xfId="0" applyNumberFormat="1" applyFill="1" applyBorder="1" applyAlignment="1">
      <alignment horizontal="center" vertical="center"/>
    </xf>
    <xf numFmtId="0" fontId="7" fillId="0" borderId="0" xfId="0" applyFont="1"/>
    <xf numFmtId="12" fontId="0" fillId="0" borderId="0" xfId="0" applyNumberForma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379095</xdr:colOff>
      <xdr:row>11</xdr:row>
      <xdr:rowOff>137160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5C04AF-AA39-4905-A81D-B0B8FE3B916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393055" cy="1783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5579-A00A-44D9-969F-ADDDF823BA6C}">
  <dimension ref="B2:G9"/>
  <sheetViews>
    <sheetView workbookViewId="0">
      <selection activeCell="C13" sqref="C13"/>
    </sheetView>
  </sheetViews>
  <sheetFormatPr defaultRowHeight="14.4" x14ac:dyDescent="0.3"/>
  <cols>
    <col min="2" max="2" width="6.109375" bestFit="1" customWidth="1"/>
    <col min="3" max="3" width="19.109375" bestFit="1" customWidth="1"/>
    <col min="4" max="4" width="3.77734375" customWidth="1"/>
    <col min="5" max="5" width="5" bestFit="1" customWidth="1"/>
    <col min="6" max="6" width="18" bestFit="1" customWidth="1"/>
  </cols>
  <sheetData>
    <row r="2" spans="2:7" x14ac:dyDescent="0.3">
      <c r="B2" s="26" t="s">
        <v>25</v>
      </c>
      <c r="C2" s="26"/>
      <c r="D2" s="26"/>
      <c r="E2" s="26"/>
      <c r="F2" s="26"/>
      <c r="G2" s="26"/>
    </row>
    <row r="4" spans="2:7" x14ac:dyDescent="0.3">
      <c r="B4" t="s">
        <v>8</v>
      </c>
      <c r="E4" t="s">
        <v>12</v>
      </c>
    </row>
    <row r="6" spans="2:7" x14ac:dyDescent="0.3">
      <c r="B6" t="s">
        <v>28</v>
      </c>
      <c r="C6" t="s">
        <v>29</v>
      </c>
      <c r="E6" t="s">
        <v>32</v>
      </c>
      <c r="F6" t="s">
        <v>33</v>
      </c>
    </row>
    <row r="7" spans="2:7" x14ac:dyDescent="0.3">
      <c r="B7" t="s">
        <v>30</v>
      </c>
      <c r="C7" t="s">
        <v>31</v>
      </c>
      <c r="E7" t="s">
        <v>34</v>
      </c>
      <c r="F7" t="s">
        <v>35</v>
      </c>
    </row>
    <row r="8" spans="2:7" x14ac:dyDescent="0.3">
      <c r="C8" t="s">
        <v>26</v>
      </c>
      <c r="F8" t="s">
        <v>27</v>
      </c>
    </row>
    <row r="9" spans="2:7" x14ac:dyDescent="0.3">
      <c r="C9" t="s">
        <v>21</v>
      </c>
      <c r="F9" t="s">
        <v>21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5CAF-166A-4E7C-A368-DCD1389C4192}">
  <dimension ref="A2:K25"/>
  <sheetViews>
    <sheetView workbookViewId="0">
      <selection activeCell="B26" sqref="B26"/>
    </sheetView>
  </sheetViews>
  <sheetFormatPr defaultRowHeight="14.4" x14ac:dyDescent="0.3"/>
  <cols>
    <col min="1" max="7" width="10.77734375" customWidth="1"/>
    <col min="8" max="8" width="10.77734375" style="8" customWidth="1"/>
    <col min="9" max="9" width="10.77734375" customWidth="1"/>
  </cols>
  <sheetData>
    <row r="2" spans="1:11" x14ac:dyDescent="0.3">
      <c r="B2" s="26" t="s">
        <v>6</v>
      </c>
      <c r="C2" s="26"/>
      <c r="D2" s="26"/>
      <c r="E2" s="26"/>
      <c r="F2" s="26"/>
      <c r="G2" s="26"/>
    </row>
    <row r="4" spans="1:11" x14ac:dyDescent="0.3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J4" t="s">
        <v>15</v>
      </c>
    </row>
    <row r="5" spans="1:11" x14ac:dyDescent="0.3">
      <c r="B5" s="4" t="s">
        <v>3</v>
      </c>
      <c r="C5" s="5">
        <v>60</v>
      </c>
      <c r="D5" s="6">
        <v>100</v>
      </c>
      <c r="E5" s="5">
        <v>1</v>
      </c>
      <c r="F5" s="5">
        <v>0</v>
      </c>
      <c r="G5" s="5">
        <v>10000</v>
      </c>
      <c r="H5" s="9">
        <f>G5/D5</f>
        <v>100</v>
      </c>
    </row>
    <row r="6" spans="1:11" x14ac:dyDescent="0.3">
      <c r="B6" s="4" t="s">
        <v>4</v>
      </c>
      <c r="C6" s="4">
        <v>20</v>
      </c>
      <c r="D6" s="5">
        <v>25</v>
      </c>
      <c r="E6" s="4">
        <v>0</v>
      </c>
      <c r="F6" s="4">
        <v>1</v>
      </c>
      <c r="G6" s="4">
        <v>3000</v>
      </c>
      <c r="H6" s="9">
        <f>G6/D6</f>
        <v>120</v>
      </c>
      <c r="J6" t="s">
        <v>16</v>
      </c>
      <c r="K6" t="s">
        <v>17</v>
      </c>
    </row>
    <row r="7" spans="1:11" x14ac:dyDescent="0.3">
      <c r="B7" s="4" t="s">
        <v>7</v>
      </c>
      <c r="C7" s="4">
        <v>-5</v>
      </c>
      <c r="D7" s="5">
        <v>-8</v>
      </c>
      <c r="E7" s="4">
        <v>0</v>
      </c>
      <c r="F7" s="4">
        <v>0</v>
      </c>
      <c r="G7" s="4">
        <v>0</v>
      </c>
    </row>
    <row r="8" spans="1:11" x14ac:dyDescent="0.3">
      <c r="J8" t="s">
        <v>18</v>
      </c>
      <c r="K8" t="s">
        <v>19</v>
      </c>
    </row>
    <row r="9" spans="1:11" x14ac:dyDescent="0.3"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K9" t="s">
        <v>20</v>
      </c>
    </row>
    <row r="10" spans="1:11" x14ac:dyDescent="0.3">
      <c r="A10" s="3">
        <v>100</v>
      </c>
      <c r="B10" s="4" t="s">
        <v>2</v>
      </c>
      <c r="C10" s="7">
        <f>C5/$A$10</f>
        <v>0.6</v>
      </c>
      <c r="D10" s="7">
        <f t="shared" ref="D10:G10" si="0">D5/$A$10</f>
        <v>1</v>
      </c>
      <c r="E10" s="7">
        <f t="shared" si="0"/>
        <v>0.01</v>
      </c>
      <c r="F10" s="7">
        <f t="shared" si="0"/>
        <v>0</v>
      </c>
      <c r="G10" s="7">
        <f t="shared" si="0"/>
        <v>100</v>
      </c>
      <c r="K10" t="s">
        <v>21</v>
      </c>
    </row>
    <row r="11" spans="1:11" x14ac:dyDescent="0.3">
      <c r="A11" s="3">
        <v>25</v>
      </c>
      <c r="B11" s="4" t="s">
        <v>4</v>
      </c>
      <c r="C11" s="7">
        <f>-$A$11*C$10+C6</f>
        <v>5</v>
      </c>
      <c r="D11" s="7">
        <f t="shared" ref="D11:G11" si="1">-$A$11*D$10+D6</f>
        <v>0</v>
      </c>
      <c r="E11" s="7">
        <f t="shared" si="1"/>
        <v>-0.25</v>
      </c>
      <c r="F11" s="7">
        <f t="shared" si="1"/>
        <v>1</v>
      </c>
      <c r="G11" s="7">
        <f t="shared" si="1"/>
        <v>500</v>
      </c>
    </row>
    <row r="12" spans="1:11" x14ac:dyDescent="0.3">
      <c r="A12" s="3">
        <v>-8</v>
      </c>
      <c r="B12" s="4" t="s">
        <v>7</v>
      </c>
      <c r="C12" s="7">
        <f>-$A$12*C$10+C7</f>
        <v>-0.20000000000000018</v>
      </c>
      <c r="D12" s="7">
        <f t="shared" ref="D12:G12" si="2">-$A$12*D$10+D7</f>
        <v>0</v>
      </c>
      <c r="E12" s="7">
        <f t="shared" si="2"/>
        <v>0.08</v>
      </c>
      <c r="F12" s="7">
        <f t="shared" si="2"/>
        <v>0</v>
      </c>
      <c r="G12" s="7">
        <f t="shared" si="2"/>
        <v>800</v>
      </c>
      <c r="J12" t="s">
        <v>22</v>
      </c>
    </row>
    <row r="13" spans="1:11" x14ac:dyDescent="0.3">
      <c r="J13" t="s">
        <v>23</v>
      </c>
    </row>
    <row r="14" spans="1:11" x14ac:dyDescent="0.3">
      <c r="B14" s="4" t="s">
        <v>0</v>
      </c>
      <c r="C14" s="4" t="s">
        <v>1</v>
      </c>
      <c r="D14" s="4" t="s">
        <v>2</v>
      </c>
      <c r="E14" s="4" t="s">
        <v>3</v>
      </c>
      <c r="F14" s="4" t="s">
        <v>4</v>
      </c>
      <c r="G14" s="4" t="s">
        <v>5</v>
      </c>
      <c r="J14" t="s">
        <v>24</v>
      </c>
    </row>
    <row r="15" spans="1:11" x14ac:dyDescent="0.3">
      <c r="B15" s="4" t="s">
        <v>2</v>
      </c>
      <c r="C15" s="5">
        <v>0.6</v>
      </c>
      <c r="D15" s="4">
        <v>1</v>
      </c>
      <c r="E15" s="4">
        <v>0.01</v>
      </c>
      <c r="F15" s="4">
        <v>0</v>
      </c>
      <c r="G15" s="4">
        <v>100</v>
      </c>
      <c r="H15" s="9">
        <f>G15/C15</f>
        <v>166.66666666666669</v>
      </c>
    </row>
    <row r="16" spans="1:11" x14ac:dyDescent="0.3">
      <c r="B16" s="4" t="s">
        <v>1</v>
      </c>
      <c r="C16" s="6">
        <v>5</v>
      </c>
      <c r="D16" s="5">
        <v>0</v>
      </c>
      <c r="E16" s="5">
        <v>-0.25</v>
      </c>
      <c r="F16" s="5">
        <v>1</v>
      </c>
      <c r="G16" s="5">
        <v>500</v>
      </c>
      <c r="H16" s="9">
        <f>G16/C16</f>
        <v>100</v>
      </c>
    </row>
    <row r="17" spans="1:8" x14ac:dyDescent="0.3">
      <c r="B17" s="4" t="s">
        <v>7</v>
      </c>
      <c r="C17" s="5">
        <v>-0.20000000000000018</v>
      </c>
      <c r="D17" s="4">
        <v>0</v>
      </c>
      <c r="E17" s="4">
        <v>0.08</v>
      </c>
      <c r="F17" s="4">
        <v>0</v>
      </c>
      <c r="G17" s="4">
        <v>800</v>
      </c>
    </row>
    <row r="19" spans="1:8" x14ac:dyDescent="0.3"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</row>
    <row r="20" spans="1:8" x14ac:dyDescent="0.3">
      <c r="A20" s="2">
        <v>0.6</v>
      </c>
      <c r="B20" s="4" t="s">
        <v>2</v>
      </c>
      <c r="C20" s="7">
        <f>-$A$20*C21+C15</f>
        <v>0</v>
      </c>
      <c r="D20" s="7">
        <f t="shared" ref="D20:G20" si="3">-$A$20*D21+D15</f>
        <v>1</v>
      </c>
      <c r="E20" s="7">
        <f t="shared" si="3"/>
        <v>0.04</v>
      </c>
      <c r="F20" s="7">
        <f t="shared" si="3"/>
        <v>-0.12</v>
      </c>
      <c r="G20" s="7">
        <f t="shared" si="3"/>
        <v>40</v>
      </c>
      <c r="H20" s="9"/>
    </row>
    <row r="21" spans="1:8" x14ac:dyDescent="0.3">
      <c r="A21" s="2">
        <v>5</v>
      </c>
      <c r="B21" s="4" t="s">
        <v>1</v>
      </c>
      <c r="C21" s="7">
        <f>C16/$A$21</f>
        <v>1</v>
      </c>
      <c r="D21" s="7">
        <f t="shared" ref="D21:G21" si="4">D16/$A$21</f>
        <v>0</v>
      </c>
      <c r="E21" s="7">
        <f t="shared" si="4"/>
        <v>-0.05</v>
      </c>
      <c r="F21" s="7">
        <f t="shared" si="4"/>
        <v>0.2</v>
      </c>
      <c r="G21" s="7">
        <f t="shared" si="4"/>
        <v>100</v>
      </c>
      <c r="H21" s="9"/>
    </row>
    <row r="22" spans="1:8" x14ac:dyDescent="0.3">
      <c r="A22" s="2">
        <v>-0.20000000000000018</v>
      </c>
      <c r="B22" s="4" t="s">
        <v>7</v>
      </c>
      <c r="C22" s="7">
        <f>-$A$22*C21+C17</f>
        <v>0</v>
      </c>
      <c r="D22" s="7">
        <f t="shared" ref="D22:G22" si="5">-$A$22*D21+D17</f>
        <v>0</v>
      </c>
      <c r="E22" s="7">
        <f t="shared" si="5"/>
        <v>6.9999999999999993E-2</v>
      </c>
      <c r="F22" s="7">
        <f t="shared" si="5"/>
        <v>4.0000000000000036E-2</v>
      </c>
      <c r="G22" s="7">
        <f t="shared" si="5"/>
        <v>820</v>
      </c>
    </row>
    <row r="24" spans="1:8" x14ac:dyDescent="0.3">
      <c r="B24" t="s">
        <v>8</v>
      </c>
      <c r="C24" t="s">
        <v>9</v>
      </c>
      <c r="D24" t="s">
        <v>10</v>
      </c>
      <c r="E24" t="s">
        <v>11</v>
      </c>
    </row>
    <row r="25" spans="1:8" x14ac:dyDescent="0.3">
      <c r="B25" t="s">
        <v>12</v>
      </c>
      <c r="C25" t="s">
        <v>13</v>
      </c>
      <c r="D25" t="s">
        <v>14</v>
      </c>
      <c r="E25" t="s">
        <v>11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74A6-F6CA-4752-ABA7-380CFB261314}">
  <dimension ref="A1:G15"/>
  <sheetViews>
    <sheetView workbookViewId="0">
      <selection activeCell="C16" sqref="C16"/>
    </sheetView>
  </sheetViews>
  <sheetFormatPr defaultRowHeight="14.4" x14ac:dyDescent="0.3"/>
  <cols>
    <col min="1" max="1" width="26.44140625" bestFit="1" customWidth="1"/>
    <col min="2" max="2" width="3.77734375" customWidth="1"/>
    <col min="3" max="3" width="28.77734375" customWidth="1"/>
    <col min="5" max="5" width="34.88671875" bestFit="1" customWidth="1"/>
    <col min="6" max="6" width="3.77734375" customWidth="1"/>
    <col min="7" max="7" width="30.77734375" customWidth="1"/>
  </cols>
  <sheetData>
    <row r="1" spans="1:7" ht="15.6" x14ac:dyDescent="0.3">
      <c r="A1" s="27" t="s">
        <v>36</v>
      </c>
      <c r="B1" s="27"/>
      <c r="C1" s="27"/>
      <c r="D1" s="27"/>
      <c r="E1" s="27"/>
      <c r="F1" s="27"/>
      <c r="G1" s="27"/>
    </row>
    <row r="2" spans="1:7" ht="15.6" x14ac:dyDescent="0.3">
      <c r="A2" s="13"/>
      <c r="B2" s="13"/>
      <c r="C2" s="13"/>
      <c r="D2" s="13"/>
      <c r="E2" s="13"/>
    </row>
    <row r="3" spans="1:7" x14ac:dyDescent="0.3">
      <c r="A3" t="s">
        <v>8</v>
      </c>
      <c r="C3" t="s">
        <v>12</v>
      </c>
      <c r="E3" t="s">
        <v>8</v>
      </c>
      <c r="G3" t="s">
        <v>12</v>
      </c>
    </row>
    <row r="4" spans="1:7" ht="15.6" x14ac:dyDescent="0.3">
      <c r="A4" s="11" t="s">
        <v>37</v>
      </c>
      <c r="C4" s="14" t="s">
        <v>55</v>
      </c>
      <c r="E4" s="11" t="s">
        <v>46</v>
      </c>
      <c r="G4" s="14" t="s">
        <v>61</v>
      </c>
    </row>
    <row r="5" spans="1:7" ht="15.6" x14ac:dyDescent="0.3">
      <c r="A5" s="11" t="s">
        <v>38</v>
      </c>
      <c r="C5" s="14" t="s">
        <v>56</v>
      </c>
      <c r="E5" s="11" t="s">
        <v>47</v>
      </c>
      <c r="G5" s="14" t="s">
        <v>62</v>
      </c>
    </row>
    <row r="6" spans="1:7" ht="15.6" x14ac:dyDescent="0.3">
      <c r="A6" s="11" t="s">
        <v>39</v>
      </c>
      <c r="C6" s="14" t="s">
        <v>57</v>
      </c>
      <c r="E6" s="11" t="s">
        <v>48</v>
      </c>
      <c r="G6" s="14" t="s">
        <v>63</v>
      </c>
    </row>
    <row r="7" spans="1:7" ht="15.6" x14ac:dyDescent="0.3">
      <c r="A7" s="11" t="s">
        <v>40</v>
      </c>
      <c r="C7" s="14" t="s">
        <v>21</v>
      </c>
      <c r="E7" s="11" t="s">
        <v>49</v>
      </c>
      <c r="G7" s="14" t="s">
        <v>21</v>
      </c>
    </row>
    <row r="8" spans="1:7" ht="15.6" x14ac:dyDescent="0.3">
      <c r="A8" s="11"/>
      <c r="E8" s="11"/>
    </row>
    <row r="9" spans="1:7" x14ac:dyDescent="0.3">
      <c r="A9" t="s">
        <v>8</v>
      </c>
      <c r="C9" t="s">
        <v>12</v>
      </c>
      <c r="E9" t="s">
        <v>8</v>
      </c>
      <c r="G9" t="s">
        <v>12</v>
      </c>
    </row>
    <row r="10" spans="1:7" ht="15.6" x14ac:dyDescent="0.3">
      <c r="A10" s="11" t="s">
        <v>41</v>
      </c>
      <c r="C10" s="14" t="s">
        <v>64</v>
      </c>
      <c r="E10" s="12" t="s">
        <v>50</v>
      </c>
      <c r="G10" s="14" t="s">
        <v>65</v>
      </c>
    </row>
    <row r="11" spans="1:7" ht="15.6" x14ac:dyDescent="0.3">
      <c r="A11" s="11" t="s">
        <v>42</v>
      </c>
      <c r="C11" s="14" t="s">
        <v>58</v>
      </c>
      <c r="E11" s="11" t="s">
        <v>51</v>
      </c>
      <c r="G11" s="14" t="s">
        <v>66</v>
      </c>
    </row>
    <row r="12" spans="1:7" ht="15.6" x14ac:dyDescent="0.3">
      <c r="A12" s="11" t="s">
        <v>43</v>
      </c>
      <c r="C12" s="14" t="s">
        <v>59</v>
      </c>
      <c r="E12" s="11" t="s">
        <v>52</v>
      </c>
      <c r="G12" s="14" t="s">
        <v>67</v>
      </c>
    </row>
    <row r="13" spans="1:7" ht="15.6" x14ac:dyDescent="0.3">
      <c r="A13" s="11" t="s">
        <v>44</v>
      </c>
      <c r="C13" s="14" t="s">
        <v>60</v>
      </c>
      <c r="E13" s="11" t="s">
        <v>53</v>
      </c>
      <c r="G13" s="14" t="s">
        <v>68</v>
      </c>
    </row>
    <row r="14" spans="1:7" ht="15.6" x14ac:dyDescent="0.3">
      <c r="A14" s="11" t="s">
        <v>45</v>
      </c>
      <c r="E14" s="11" t="s">
        <v>54</v>
      </c>
      <c r="G14" s="14" t="s">
        <v>60</v>
      </c>
    </row>
    <row r="15" spans="1:7" x14ac:dyDescent="0.3">
      <c r="A15" s="12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8A06-2C2A-4FA7-ADA1-BC409AB5353B}">
  <dimension ref="A1:U24"/>
  <sheetViews>
    <sheetView topLeftCell="B1" zoomScaleNormal="100" workbookViewId="0">
      <selection activeCell="I30" sqref="I30"/>
    </sheetView>
  </sheetViews>
  <sheetFormatPr defaultRowHeight="14.4" x14ac:dyDescent="0.3"/>
  <cols>
    <col min="1" max="1" width="24.109375" bestFit="1" customWidth="1"/>
    <col min="2" max="2" width="3.77734375" customWidth="1"/>
    <col min="4" max="4" width="9" bestFit="1" customWidth="1"/>
    <col min="5" max="5" width="13.33203125" bestFit="1" customWidth="1"/>
    <col min="6" max="6" width="7.44140625" bestFit="1" customWidth="1"/>
    <col min="11" max="11" width="3.77734375" customWidth="1"/>
    <col min="12" max="12" width="31" bestFit="1" customWidth="1"/>
    <col min="13" max="13" width="3.77734375" customWidth="1"/>
    <col min="15" max="15" width="13.21875" bestFit="1" customWidth="1"/>
    <col min="16" max="16" width="13.33203125" bestFit="1" customWidth="1"/>
    <col min="17" max="17" width="10.33203125" bestFit="1" customWidth="1"/>
  </cols>
  <sheetData>
    <row r="1" spans="1:21" ht="15" x14ac:dyDescent="0.3">
      <c r="A1" s="28" t="s">
        <v>69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21" ht="15.6" x14ac:dyDescent="0.3">
      <c r="A3" s="11" t="s">
        <v>37</v>
      </c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L3" s="11" t="s">
        <v>73</v>
      </c>
      <c r="O3" s="4" t="s">
        <v>0</v>
      </c>
      <c r="P3" s="4" t="s">
        <v>1</v>
      </c>
      <c r="Q3" s="4" t="s">
        <v>2</v>
      </c>
      <c r="R3" s="4" t="s">
        <v>3</v>
      </c>
      <c r="S3" s="4" t="s">
        <v>4</v>
      </c>
      <c r="T3" s="4" t="s">
        <v>5</v>
      </c>
    </row>
    <row r="4" spans="1:21" ht="15.6" x14ac:dyDescent="0.3">
      <c r="A4" s="11" t="s">
        <v>38</v>
      </c>
      <c r="D4" s="4" t="s">
        <v>3</v>
      </c>
      <c r="E4" s="5">
        <v>4</v>
      </c>
      <c r="F4" s="6">
        <v>7</v>
      </c>
      <c r="G4" s="5">
        <v>1</v>
      </c>
      <c r="H4" s="5">
        <v>0</v>
      </c>
      <c r="I4" s="5">
        <v>336</v>
      </c>
      <c r="J4">
        <f>I4/F4</f>
        <v>48</v>
      </c>
      <c r="L4" s="11" t="s">
        <v>47</v>
      </c>
      <c r="O4" s="4" t="s">
        <v>3</v>
      </c>
      <c r="P4" s="5">
        <v>30</v>
      </c>
      <c r="Q4" s="6">
        <v>40</v>
      </c>
      <c r="R4" s="5">
        <v>1</v>
      </c>
      <c r="S4" s="5">
        <v>0</v>
      </c>
      <c r="T4" s="5">
        <v>2600</v>
      </c>
      <c r="U4">
        <f>T4/Q4</f>
        <v>65</v>
      </c>
    </row>
    <row r="5" spans="1:21" ht="15.6" x14ac:dyDescent="0.3">
      <c r="A5" s="11" t="s">
        <v>39</v>
      </c>
      <c r="D5" s="4" t="s">
        <v>4</v>
      </c>
      <c r="E5" s="7">
        <v>6</v>
      </c>
      <c r="F5" s="5">
        <v>3</v>
      </c>
      <c r="G5" s="7">
        <v>0</v>
      </c>
      <c r="H5" s="7">
        <v>1</v>
      </c>
      <c r="I5" s="7">
        <v>252</v>
      </c>
      <c r="J5">
        <f>I5/F5</f>
        <v>84</v>
      </c>
      <c r="L5" s="11" t="s">
        <v>48</v>
      </c>
      <c r="O5" s="4" t="s">
        <v>4</v>
      </c>
      <c r="P5" s="7">
        <v>40</v>
      </c>
      <c r="Q5" s="5">
        <v>16</v>
      </c>
      <c r="R5" s="7">
        <v>0</v>
      </c>
      <c r="S5" s="7">
        <v>1</v>
      </c>
      <c r="T5" s="7">
        <v>1900</v>
      </c>
      <c r="U5">
        <f>T5/Q5</f>
        <v>118.75</v>
      </c>
    </row>
    <row r="6" spans="1:21" ht="15.6" x14ac:dyDescent="0.3">
      <c r="A6" s="15" t="s">
        <v>40</v>
      </c>
      <c r="D6" s="4" t="s">
        <v>7</v>
      </c>
      <c r="E6" s="7">
        <v>-4</v>
      </c>
      <c r="F6" s="5">
        <v>-5</v>
      </c>
      <c r="G6" s="7">
        <v>0</v>
      </c>
      <c r="H6" s="7">
        <v>0</v>
      </c>
      <c r="I6" s="7">
        <v>0</v>
      </c>
      <c r="L6" s="15" t="s">
        <v>49</v>
      </c>
      <c r="O6" s="4" t="s">
        <v>7</v>
      </c>
      <c r="P6" s="7">
        <v>-11</v>
      </c>
      <c r="Q6" s="5">
        <v>-14</v>
      </c>
      <c r="R6" s="7">
        <v>0</v>
      </c>
      <c r="S6" s="7">
        <v>0</v>
      </c>
      <c r="T6" s="7">
        <v>0</v>
      </c>
    </row>
    <row r="8" spans="1:21" ht="15.6" x14ac:dyDescent="0.3">
      <c r="A8" s="11" t="s">
        <v>70</v>
      </c>
      <c r="D8" s="4" t="s">
        <v>0</v>
      </c>
      <c r="E8" s="4" t="s">
        <v>1</v>
      </c>
      <c r="F8" s="4" t="s">
        <v>2</v>
      </c>
      <c r="G8" s="4" t="s">
        <v>3</v>
      </c>
      <c r="H8" s="4" t="s">
        <v>4</v>
      </c>
      <c r="I8" s="4" t="s">
        <v>5</v>
      </c>
      <c r="L8" s="11" t="s">
        <v>74</v>
      </c>
      <c r="O8" s="4" t="s">
        <v>0</v>
      </c>
      <c r="P8" s="4" t="s">
        <v>1</v>
      </c>
      <c r="Q8" s="4" t="s">
        <v>2</v>
      </c>
      <c r="R8" s="4" t="s">
        <v>3</v>
      </c>
      <c r="S8" s="4" t="s">
        <v>4</v>
      </c>
      <c r="T8" s="4" t="s">
        <v>5</v>
      </c>
    </row>
    <row r="9" spans="1:21" ht="15.6" x14ac:dyDescent="0.3">
      <c r="A9" s="11" t="s">
        <v>71</v>
      </c>
      <c r="C9" s="5">
        <v>7</v>
      </c>
      <c r="D9" s="4" t="s">
        <v>2</v>
      </c>
      <c r="E9" s="22">
        <f>E4/$C$9</f>
        <v>0.5714285714285714</v>
      </c>
      <c r="F9" s="22">
        <f t="shared" ref="F9:I9" si="0">F4/$C$9</f>
        <v>1</v>
      </c>
      <c r="G9" s="22">
        <f t="shared" si="0"/>
        <v>0.14285714285714285</v>
      </c>
      <c r="H9" s="22">
        <f t="shared" si="0"/>
        <v>0</v>
      </c>
      <c r="I9" s="22">
        <f t="shared" si="0"/>
        <v>48</v>
      </c>
      <c r="L9" s="11" t="s">
        <v>75</v>
      </c>
      <c r="N9" s="5">
        <v>40</v>
      </c>
      <c r="O9" s="4" t="s">
        <v>2</v>
      </c>
      <c r="P9" s="22">
        <f>P4/$N$9</f>
        <v>0.75</v>
      </c>
      <c r="Q9" s="22">
        <f>Q4/$N$9</f>
        <v>1</v>
      </c>
      <c r="R9" s="22">
        <f t="shared" ref="R9:T9" si="1">R4/$N$9</f>
        <v>2.5000000000000001E-2</v>
      </c>
      <c r="S9" s="22">
        <f t="shared" si="1"/>
        <v>0</v>
      </c>
      <c r="T9" s="22">
        <f t="shared" si="1"/>
        <v>65</v>
      </c>
    </row>
    <row r="10" spans="1:21" ht="15.6" x14ac:dyDescent="0.3">
      <c r="A10" s="11" t="s">
        <v>72</v>
      </c>
      <c r="C10" s="5">
        <v>3</v>
      </c>
      <c r="D10" s="4" t="s">
        <v>4</v>
      </c>
      <c r="E10" s="22">
        <f>-$C$10*E9+E5</f>
        <v>4.2857142857142856</v>
      </c>
      <c r="F10" s="22">
        <f>-$C$10*F9+F5</f>
        <v>0</v>
      </c>
      <c r="G10" s="22">
        <f t="shared" ref="G10:I10" si="2">-$C$10*G9+G5</f>
        <v>-0.42857142857142855</v>
      </c>
      <c r="H10" s="22">
        <f t="shared" si="2"/>
        <v>1</v>
      </c>
      <c r="I10" s="22">
        <f t="shared" si="2"/>
        <v>108</v>
      </c>
      <c r="L10" s="11" t="s">
        <v>76</v>
      </c>
      <c r="N10" s="5">
        <v>16</v>
      </c>
      <c r="O10" s="4" t="s">
        <v>4</v>
      </c>
      <c r="P10" s="22">
        <f>-$N$10*P9+P5</f>
        <v>28</v>
      </c>
      <c r="Q10" s="22">
        <f>-$N$10*Q9+Q5</f>
        <v>0</v>
      </c>
      <c r="R10" s="22">
        <f t="shared" ref="R10:T10" si="3">-$N$10*R9+R5</f>
        <v>-0.4</v>
      </c>
      <c r="S10" s="22">
        <f t="shared" si="3"/>
        <v>1</v>
      </c>
      <c r="T10" s="22">
        <f t="shared" si="3"/>
        <v>860</v>
      </c>
    </row>
    <row r="11" spans="1:21" x14ac:dyDescent="0.3">
      <c r="C11" s="5">
        <v>-5</v>
      </c>
      <c r="D11" s="4" t="s">
        <v>7</v>
      </c>
      <c r="E11" s="22">
        <f>-$C$11*E9+E6</f>
        <v>-1.1428571428571432</v>
      </c>
      <c r="F11" s="22">
        <f>-$C$11*F9+F6</f>
        <v>0</v>
      </c>
      <c r="G11" s="22">
        <f t="shared" ref="G11:I11" si="4">-$C$11*G9+G6</f>
        <v>0.71428571428571419</v>
      </c>
      <c r="H11" s="22">
        <f t="shared" si="4"/>
        <v>0</v>
      </c>
      <c r="I11" s="22">
        <f t="shared" si="4"/>
        <v>240</v>
      </c>
      <c r="N11" s="5">
        <v>-14</v>
      </c>
      <c r="O11" s="4" t="s">
        <v>7</v>
      </c>
      <c r="P11" s="22">
        <f>-$N$11*P9+P6</f>
        <v>-0.5</v>
      </c>
      <c r="Q11" s="22">
        <f>-$N$11*Q9+Q6</f>
        <v>0</v>
      </c>
      <c r="R11" s="22">
        <f t="shared" ref="R11:T11" si="5">-$N$11*R9+R6</f>
        <v>0.35000000000000003</v>
      </c>
      <c r="S11" s="22">
        <f t="shared" si="5"/>
        <v>0</v>
      </c>
      <c r="T11" s="22">
        <f t="shared" si="5"/>
        <v>910</v>
      </c>
    </row>
    <row r="13" spans="1:21" x14ac:dyDescent="0.3">
      <c r="D13" s="4" t="s">
        <v>0</v>
      </c>
      <c r="E13" s="4" t="s">
        <v>1</v>
      </c>
      <c r="F13" s="4" t="s">
        <v>2</v>
      </c>
      <c r="G13" s="4" t="s">
        <v>3</v>
      </c>
      <c r="H13" s="4" t="s">
        <v>4</v>
      </c>
      <c r="I13" s="4" t="s">
        <v>5</v>
      </c>
      <c r="O13" s="4" t="s">
        <v>0</v>
      </c>
      <c r="P13" s="4" t="s">
        <v>1</v>
      </c>
      <c r="Q13" s="4" t="s">
        <v>2</v>
      </c>
      <c r="R13" s="4" t="s">
        <v>3</v>
      </c>
      <c r="S13" s="4" t="s">
        <v>4</v>
      </c>
      <c r="T13" s="4" t="s">
        <v>5</v>
      </c>
    </row>
    <row r="14" spans="1:21" x14ac:dyDescent="0.3">
      <c r="D14" s="4" t="s">
        <v>2</v>
      </c>
      <c r="E14" s="23">
        <v>0.5714285714285714</v>
      </c>
      <c r="F14" s="24">
        <v>1</v>
      </c>
      <c r="G14" s="24">
        <v>0.14285714285714285</v>
      </c>
      <c r="H14" s="24">
        <v>0</v>
      </c>
      <c r="I14" s="24">
        <v>48</v>
      </c>
      <c r="J14">
        <f>I14/E14</f>
        <v>84</v>
      </c>
      <c r="O14" s="4" t="s">
        <v>2</v>
      </c>
      <c r="P14" s="23">
        <v>0.75</v>
      </c>
      <c r="Q14" s="22">
        <v>1</v>
      </c>
      <c r="R14" s="22">
        <v>2.5000000000000001E-2</v>
      </c>
      <c r="S14" s="22">
        <v>0</v>
      </c>
      <c r="T14" s="22">
        <v>65</v>
      </c>
      <c r="U14">
        <f>T14/P14</f>
        <v>86.666666666666671</v>
      </c>
    </row>
    <row r="15" spans="1:21" x14ac:dyDescent="0.3">
      <c r="D15" s="4" t="s">
        <v>4</v>
      </c>
      <c r="E15" s="25">
        <v>4.2857142857142856</v>
      </c>
      <c r="F15" s="23">
        <v>0</v>
      </c>
      <c r="G15" s="23">
        <v>-0.42857142857142855</v>
      </c>
      <c r="H15" s="23">
        <v>1</v>
      </c>
      <c r="I15" s="23">
        <v>108</v>
      </c>
      <c r="J15">
        <f>I15/E15</f>
        <v>25.2</v>
      </c>
      <c r="O15" s="4" t="s">
        <v>4</v>
      </c>
      <c r="P15" s="25">
        <v>28</v>
      </c>
      <c r="Q15" s="23">
        <v>0</v>
      </c>
      <c r="R15" s="23">
        <v>-0.4</v>
      </c>
      <c r="S15" s="23">
        <v>1</v>
      </c>
      <c r="T15" s="23">
        <v>860</v>
      </c>
      <c r="U15">
        <f>T15/P15</f>
        <v>30.714285714285715</v>
      </c>
    </row>
    <row r="16" spans="1:21" x14ac:dyDescent="0.3">
      <c r="D16" s="4" t="s">
        <v>7</v>
      </c>
      <c r="E16" s="23">
        <v>-1.1428571428571432</v>
      </c>
      <c r="F16" s="24">
        <v>0</v>
      </c>
      <c r="G16" s="24">
        <v>0.71428571428571419</v>
      </c>
      <c r="H16" s="24">
        <v>0</v>
      </c>
      <c r="I16" s="24">
        <v>240</v>
      </c>
      <c r="O16" s="4" t="s">
        <v>7</v>
      </c>
      <c r="P16" s="23">
        <v>-0.5</v>
      </c>
      <c r="Q16" s="22">
        <v>0</v>
      </c>
      <c r="R16" s="22">
        <v>0.35000000000000003</v>
      </c>
      <c r="S16" s="22">
        <v>0</v>
      </c>
      <c r="T16" s="22">
        <v>910</v>
      </c>
    </row>
    <row r="18" spans="3:20" x14ac:dyDescent="0.3">
      <c r="D18" s="4" t="s">
        <v>0</v>
      </c>
      <c r="E18" s="4" t="s">
        <v>1</v>
      </c>
      <c r="F18" s="4" t="s">
        <v>2</v>
      </c>
      <c r="G18" s="4" t="s">
        <v>3</v>
      </c>
      <c r="H18" s="4" t="s">
        <v>4</v>
      </c>
      <c r="I18" s="4" t="s">
        <v>5</v>
      </c>
      <c r="O18" s="4" t="s">
        <v>0</v>
      </c>
      <c r="P18" s="4" t="s">
        <v>1</v>
      </c>
      <c r="Q18" s="4" t="s">
        <v>2</v>
      </c>
      <c r="R18" s="4" t="s">
        <v>3</v>
      </c>
      <c r="S18" s="4" t="s">
        <v>4</v>
      </c>
      <c r="T18" s="4" t="s">
        <v>5</v>
      </c>
    </row>
    <row r="19" spans="3:20" x14ac:dyDescent="0.3">
      <c r="C19" s="5">
        <v>0.5714285714285714</v>
      </c>
      <c r="D19" s="4" t="s">
        <v>2</v>
      </c>
      <c r="E19" s="24">
        <f>-$C$19*E20+E14</f>
        <v>0</v>
      </c>
      <c r="F19" s="24">
        <f t="shared" ref="F19:I19" si="6">-$C$19*F20+F14</f>
        <v>1</v>
      </c>
      <c r="G19" s="24">
        <f t="shared" si="6"/>
        <v>0.19999999999999998</v>
      </c>
      <c r="H19" s="24">
        <f t="shared" si="6"/>
        <v>-0.13333333333333333</v>
      </c>
      <c r="I19" s="24">
        <f t="shared" si="6"/>
        <v>33.6</v>
      </c>
      <c r="N19" s="5">
        <v>0.75</v>
      </c>
      <c r="O19" s="4" t="s">
        <v>2</v>
      </c>
      <c r="P19" s="22">
        <f>-$N$19*P20+P14</f>
        <v>0</v>
      </c>
      <c r="Q19" s="22">
        <f t="shared" ref="Q19:T19" si="7">-$N$19*Q20+Q14</f>
        <v>1</v>
      </c>
      <c r="R19" s="22">
        <f t="shared" si="7"/>
        <v>3.5714285714285712E-2</v>
      </c>
      <c r="S19" s="22">
        <f t="shared" si="7"/>
        <v>-2.6785714285714284E-2</v>
      </c>
      <c r="T19" s="22">
        <f t="shared" si="7"/>
        <v>41.964285714285715</v>
      </c>
    </row>
    <row r="20" spans="3:20" x14ac:dyDescent="0.3">
      <c r="C20" s="5">
        <v>4.2857142857142856</v>
      </c>
      <c r="D20" s="4" t="s">
        <v>1</v>
      </c>
      <c r="E20" s="24">
        <f>E15/$C$20</f>
        <v>1</v>
      </c>
      <c r="F20" s="24">
        <f t="shared" ref="F20:I20" si="8">F15/$C$20</f>
        <v>0</v>
      </c>
      <c r="G20" s="24">
        <f t="shared" si="8"/>
        <v>-9.9999999999999992E-2</v>
      </c>
      <c r="H20" s="24">
        <f t="shared" si="8"/>
        <v>0.23333333333333334</v>
      </c>
      <c r="I20" s="24">
        <f t="shared" si="8"/>
        <v>25.2</v>
      </c>
      <c r="N20" s="5">
        <v>28</v>
      </c>
      <c r="O20" s="4" t="s">
        <v>1</v>
      </c>
      <c r="P20" s="22">
        <f>P15/$N$20</f>
        <v>1</v>
      </c>
      <c r="Q20" s="22">
        <f t="shared" ref="Q20:T20" si="9">Q15/$N$20</f>
        <v>0</v>
      </c>
      <c r="R20" s="22">
        <f t="shared" si="9"/>
        <v>-1.4285714285714287E-2</v>
      </c>
      <c r="S20" s="22">
        <f t="shared" si="9"/>
        <v>3.5714285714285712E-2</v>
      </c>
      <c r="T20" s="22">
        <f t="shared" si="9"/>
        <v>30.714285714285715</v>
      </c>
    </row>
    <row r="21" spans="3:20" x14ac:dyDescent="0.3">
      <c r="C21" s="5">
        <v>-1.1428571428571432</v>
      </c>
      <c r="D21" s="4" t="s">
        <v>7</v>
      </c>
      <c r="E21" s="24">
        <f>-$C$21*E20+E16</f>
        <v>0</v>
      </c>
      <c r="F21" s="24">
        <f t="shared" ref="F21:I21" si="10">-$C$21*F20+F16</f>
        <v>0</v>
      </c>
      <c r="G21" s="24">
        <f t="shared" si="10"/>
        <v>0.59999999999999987</v>
      </c>
      <c r="H21" s="24">
        <f t="shared" si="10"/>
        <v>0.26666666666666677</v>
      </c>
      <c r="I21" s="24">
        <f t="shared" si="10"/>
        <v>268.8</v>
      </c>
      <c r="N21" s="5">
        <v>-0.5</v>
      </c>
      <c r="O21" s="4" t="s">
        <v>7</v>
      </c>
      <c r="P21" s="22">
        <f>-$N$21*P20+P16</f>
        <v>0</v>
      </c>
      <c r="Q21" s="22">
        <f t="shared" ref="Q21:T21" si="11">-$N$21*Q20+Q16</f>
        <v>0</v>
      </c>
      <c r="R21" s="22">
        <f t="shared" si="11"/>
        <v>0.34285714285714292</v>
      </c>
      <c r="S21" s="22">
        <f t="shared" si="11"/>
        <v>1.7857142857142856E-2</v>
      </c>
      <c r="T21" s="22">
        <f t="shared" si="11"/>
        <v>925.35714285714289</v>
      </c>
    </row>
    <row r="23" spans="3:20" x14ac:dyDescent="0.3">
      <c r="C23" t="s">
        <v>8</v>
      </c>
      <c r="D23" t="s">
        <v>115</v>
      </c>
      <c r="E23" t="s">
        <v>116</v>
      </c>
      <c r="F23" t="s">
        <v>77</v>
      </c>
      <c r="N23" t="s">
        <v>8</v>
      </c>
      <c r="O23" t="s">
        <v>118</v>
      </c>
      <c r="P23" t="s">
        <v>117</v>
      </c>
      <c r="Q23" t="s">
        <v>119</v>
      </c>
    </row>
    <row r="24" spans="3:20" x14ac:dyDescent="0.3">
      <c r="C24" t="s">
        <v>12</v>
      </c>
      <c r="D24" t="s">
        <v>78</v>
      </c>
      <c r="E24" t="s">
        <v>79</v>
      </c>
      <c r="F24" t="s">
        <v>77</v>
      </c>
      <c r="N24" t="s">
        <v>12</v>
      </c>
      <c r="O24" t="s">
        <v>80</v>
      </c>
      <c r="P24" t="s">
        <v>81</v>
      </c>
      <c r="Q24" t="s">
        <v>119</v>
      </c>
    </row>
  </sheetData>
  <mergeCells count="1">
    <mergeCell ref="A1:L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54B7-FF1E-4F6E-B445-03978885F374}">
  <dimension ref="A1:V56"/>
  <sheetViews>
    <sheetView topLeftCell="A16" workbookViewId="0">
      <selection activeCell="E37" sqref="E37"/>
    </sheetView>
  </sheetViews>
  <sheetFormatPr defaultRowHeight="14.4" x14ac:dyDescent="0.3"/>
  <cols>
    <col min="1" max="1" width="21" bestFit="1" customWidth="1"/>
    <col min="2" max="4" width="8.33203125" bestFit="1" customWidth="1"/>
    <col min="5" max="5" width="9.33203125" bestFit="1" customWidth="1"/>
  </cols>
  <sheetData>
    <row r="1" spans="1:22" ht="15.6" x14ac:dyDescent="0.3">
      <c r="A1" s="30" t="s">
        <v>99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14" spans="1:22" x14ac:dyDescent="0.3">
      <c r="A14" t="s">
        <v>82</v>
      </c>
      <c r="B14" s="1" t="s">
        <v>91</v>
      </c>
      <c r="C14" s="1" t="s">
        <v>92</v>
      </c>
      <c r="D14" s="1" t="s">
        <v>93</v>
      </c>
      <c r="E14" t="s">
        <v>83</v>
      </c>
    </row>
    <row r="15" spans="1:22" x14ac:dyDescent="0.3">
      <c r="A15" t="s">
        <v>84</v>
      </c>
      <c r="B15">
        <v>2</v>
      </c>
      <c r="C15">
        <v>2.2000000000000002</v>
      </c>
      <c r="D15">
        <v>2.6</v>
      </c>
      <c r="E15">
        <v>2300</v>
      </c>
    </row>
    <row r="16" spans="1:22" x14ac:dyDescent="0.3">
      <c r="A16" t="s">
        <v>85</v>
      </c>
      <c r="B16">
        <v>1</v>
      </c>
      <c r="C16">
        <v>1.2</v>
      </c>
      <c r="D16">
        <v>1.3</v>
      </c>
      <c r="E16">
        <v>1250</v>
      </c>
    </row>
    <row r="17" spans="1:15" x14ac:dyDescent="0.3">
      <c r="A17" t="s">
        <v>86</v>
      </c>
      <c r="B17">
        <v>0.4</v>
      </c>
      <c r="C17">
        <v>0.6</v>
      </c>
      <c r="D17">
        <v>0.95</v>
      </c>
      <c r="E17">
        <v>610</v>
      </c>
    </row>
    <row r="19" spans="1:15" x14ac:dyDescent="0.3">
      <c r="A19" t="s">
        <v>28</v>
      </c>
      <c r="B19" s="29" t="s">
        <v>94</v>
      </c>
      <c r="C19" s="29"/>
      <c r="D19" s="29"/>
      <c r="E19" s="29"/>
      <c r="G19" s="17" t="s">
        <v>0</v>
      </c>
      <c r="H19" s="17" t="s">
        <v>88</v>
      </c>
      <c r="I19" s="17" t="s">
        <v>89</v>
      </c>
      <c r="J19" s="17" t="s">
        <v>90</v>
      </c>
      <c r="K19" s="17" t="s">
        <v>3</v>
      </c>
      <c r="L19" s="17" t="s">
        <v>4</v>
      </c>
      <c r="M19" s="17" t="s">
        <v>87</v>
      </c>
      <c r="N19" s="17" t="s">
        <v>5</v>
      </c>
    </row>
    <row r="20" spans="1:15" x14ac:dyDescent="0.3">
      <c r="B20" s="29"/>
      <c r="C20" s="29"/>
      <c r="D20" s="29"/>
      <c r="E20" s="29"/>
      <c r="G20" s="18" t="s">
        <v>3</v>
      </c>
      <c r="H20" s="19">
        <v>2</v>
      </c>
      <c r="I20" s="19">
        <v>2.2000000000000002</v>
      </c>
      <c r="J20" s="20">
        <v>2.6</v>
      </c>
      <c r="K20" s="19">
        <v>1</v>
      </c>
      <c r="L20" s="19">
        <v>0</v>
      </c>
      <c r="M20" s="19">
        <v>0</v>
      </c>
      <c r="N20" s="19">
        <v>2300</v>
      </c>
      <c r="O20">
        <f>N20/J20</f>
        <v>884.61538461538464</v>
      </c>
    </row>
    <row r="21" spans="1:15" x14ac:dyDescent="0.3">
      <c r="A21" t="s">
        <v>100</v>
      </c>
      <c r="B21" s="29" t="s">
        <v>98</v>
      </c>
      <c r="C21" s="29"/>
      <c r="D21" s="29"/>
      <c r="E21" s="29"/>
      <c r="G21" s="18" t="s">
        <v>4</v>
      </c>
      <c r="H21" s="19">
        <v>1</v>
      </c>
      <c r="I21" s="19">
        <v>1.2</v>
      </c>
      <c r="J21" s="20">
        <v>1.3</v>
      </c>
      <c r="K21" s="19">
        <v>0</v>
      </c>
      <c r="L21" s="19">
        <v>1</v>
      </c>
      <c r="M21" s="19">
        <v>0</v>
      </c>
      <c r="N21" s="19">
        <v>1250</v>
      </c>
      <c r="O21">
        <f t="shared" ref="O21:O22" si="0">N21/J21</f>
        <v>961.53846153846155</v>
      </c>
    </row>
    <row r="22" spans="1:15" x14ac:dyDescent="0.3">
      <c r="B22" s="29" t="s">
        <v>101</v>
      </c>
      <c r="C22" s="29"/>
      <c r="D22" s="29"/>
      <c r="E22" s="29"/>
      <c r="G22" s="18" t="s">
        <v>87</v>
      </c>
      <c r="H22" s="20">
        <v>0.4</v>
      </c>
      <c r="I22" s="20">
        <v>0.6</v>
      </c>
      <c r="J22" s="21">
        <v>0.95</v>
      </c>
      <c r="K22" s="20">
        <v>0</v>
      </c>
      <c r="L22" s="20">
        <v>0</v>
      </c>
      <c r="M22" s="20">
        <v>1</v>
      </c>
      <c r="N22" s="20">
        <v>610</v>
      </c>
      <c r="O22">
        <f t="shared" si="0"/>
        <v>642.1052631578948</v>
      </c>
    </row>
    <row r="23" spans="1:15" x14ac:dyDescent="0.3">
      <c r="B23" s="29" t="s">
        <v>102</v>
      </c>
      <c r="C23" s="29"/>
      <c r="D23" s="29"/>
      <c r="E23" s="29"/>
      <c r="G23" s="18" t="s">
        <v>7</v>
      </c>
      <c r="H23" s="19">
        <v>-24</v>
      </c>
      <c r="I23" s="19">
        <v>-30</v>
      </c>
      <c r="J23" s="20">
        <v>-31</v>
      </c>
      <c r="K23" s="19">
        <v>0</v>
      </c>
      <c r="L23" s="19">
        <v>0</v>
      </c>
      <c r="M23" s="19">
        <v>0</v>
      </c>
      <c r="N23" s="19">
        <v>0</v>
      </c>
    </row>
    <row r="24" spans="1:15" x14ac:dyDescent="0.3">
      <c r="B24" s="29" t="s">
        <v>95</v>
      </c>
      <c r="C24" s="29"/>
      <c r="D24" s="29"/>
      <c r="E24" s="29"/>
    </row>
    <row r="25" spans="1:15" x14ac:dyDescent="0.3">
      <c r="B25" s="29"/>
      <c r="C25" s="29"/>
      <c r="D25" s="29"/>
      <c r="E25" s="29"/>
      <c r="G25" s="17" t="s">
        <v>0</v>
      </c>
      <c r="H25" s="17" t="s">
        <v>88</v>
      </c>
      <c r="I25" s="17" t="s">
        <v>89</v>
      </c>
      <c r="J25" s="17" t="s">
        <v>90</v>
      </c>
      <c r="K25" s="17" t="s">
        <v>3</v>
      </c>
      <c r="L25" s="17" t="s">
        <v>4</v>
      </c>
      <c r="M25" s="17" t="s">
        <v>87</v>
      </c>
      <c r="N25" s="17" t="s">
        <v>5</v>
      </c>
    </row>
    <row r="26" spans="1:15" x14ac:dyDescent="0.3">
      <c r="A26" t="s">
        <v>103</v>
      </c>
      <c r="B26" s="29" t="s">
        <v>96</v>
      </c>
      <c r="C26" s="29"/>
      <c r="D26" s="29"/>
      <c r="E26" s="29"/>
      <c r="F26" s="20">
        <v>2.6</v>
      </c>
      <c r="G26" s="18" t="s">
        <v>3</v>
      </c>
      <c r="H26" s="19">
        <f t="shared" ref="H26:I26" si="1">-$F$26*H28+H20</f>
        <v>0.90526315789473677</v>
      </c>
      <c r="I26" s="19">
        <f t="shared" si="1"/>
        <v>0.55789473684210544</v>
      </c>
      <c r="J26" s="19">
        <f>-$F$26*J28+J20</f>
        <v>0</v>
      </c>
      <c r="K26" s="19">
        <f t="shared" ref="K26:N26" si="2">-$F$26*K28+K20</f>
        <v>1</v>
      </c>
      <c r="L26" s="19">
        <f t="shared" si="2"/>
        <v>0</v>
      </c>
      <c r="M26" s="19">
        <f t="shared" si="2"/>
        <v>-2.736842105263158</v>
      </c>
      <c r="N26" s="19">
        <f t="shared" si="2"/>
        <v>630.52631578947353</v>
      </c>
    </row>
    <row r="27" spans="1:15" x14ac:dyDescent="0.3">
      <c r="B27" s="29"/>
      <c r="C27" s="29"/>
      <c r="D27" s="29"/>
      <c r="E27" s="29"/>
      <c r="F27" s="20">
        <v>1.3</v>
      </c>
      <c r="G27" s="18" t="s">
        <v>4</v>
      </c>
      <c r="H27" s="19">
        <f t="shared" ref="H27:I27" si="3">-$F$27*H28+H21</f>
        <v>0.45263157894736838</v>
      </c>
      <c r="I27" s="19">
        <f t="shared" si="3"/>
        <v>0.37894736842105259</v>
      </c>
      <c r="J27" s="19">
        <f>-$F$27*J28+J21</f>
        <v>0</v>
      </c>
      <c r="K27" s="19">
        <f t="shared" ref="K27:N27" si="4">-$F$27*K28+K21</f>
        <v>0</v>
      </c>
      <c r="L27" s="19">
        <f t="shared" si="4"/>
        <v>1</v>
      </c>
      <c r="M27" s="19">
        <f t="shared" si="4"/>
        <v>-1.368421052631579</v>
      </c>
      <c r="N27" s="19">
        <f t="shared" si="4"/>
        <v>415.26315789473676</v>
      </c>
    </row>
    <row r="28" spans="1:15" x14ac:dyDescent="0.3">
      <c r="A28" t="s">
        <v>104</v>
      </c>
      <c r="B28" s="29" t="s">
        <v>105</v>
      </c>
      <c r="C28" s="29"/>
      <c r="D28" s="29"/>
      <c r="E28" s="29"/>
      <c r="F28" s="20">
        <v>0.95</v>
      </c>
      <c r="G28" s="18" t="s">
        <v>87</v>
      </c>
      <c r="H28" s="19">
        <f t="shared" ref="H28:I28" si="5">H22/$F$28</f>
        <v>0.4210526315789474</v>
      </c>
      <c r="I28" s="19">
        <f t="shared" si="5"/>
        <v>0.63157894736842102</v>
      </c>
      <c r="J28" s="19">
        <f>J22/$F$28</f>
        <v>1</v>
      </c>
      <c r="K28" s="19">
        <f t="shared" ref="K28:N28" si="6">K22/$F$28</f>
        <v>0</v>
      </c>
      <c r="L28" s="19">
        <f t="shared" si="6"/>
        <v>0</v>
      </c>
      <c r="M28" s="19">
        <f t="shared" si="6"/>
        <v>1.0526315789473684</v>
      </c>
      <c r="N28" s="19">
        <f t="shared" si="6"/>
        <v>642.1052631578948</v>
      </c>
    </row>
    <row r="29" spans="1:15" x14ac:dyDescent="0.3">
      <c r="B29" s="29" t="s">
        <v>106</v>
      </c>
      <c r="C29" s="29"/>
      <c r="D29" s="29"/>
      <c r="E29" s="29"/>
      <c r="F29" s="20">
        <v>-31</v>
      </c>
      <c r="G29" s="18" t="s">
        <v>7</v>
      </c>
      <c r="H29" s="19">
        <f t="shared" ref="H29:I29" si="7">-$F$29*H28+H23</f>
        <v>-10.94736842105263</v>
      </c>
      <c r="I29" s="19">
        <f t="shared" si="7"/>
        <v>-10.421052631578949</v>
      </c>
      <c r="J29" s="19">
        <f>-$F$29*J28+J23</f>
        <v>0</v>
      </c>
      <c r="K29" s="19">
        <f t="shared" ref="K29:N29" si="8">-$F$29*K28+K23</f>
        <v>0</v>
      </c>
      <c r="L29" s="19">
        <f t="shared" si="8"/>
        <v>0</v>
      </c>
      <c r="M29" s="19">
        <f t="shared" si="8"/>
        <v>32.631578947368418</v>
      </c>
      <c r="N29" s="19">
        <f t="shared" si="8"/>
        <v>19905.26315789474</v>
      </c>
    </row>
    <row r="30" spans="1:15" x14ac:dyDescent="0.3">
      <c r="B30" s="29" t="s">
        <v>107</v>
      </c>
      <c r="C30" s="29"/>
      <c r="D30" s="29"/>
      <c r="E30" s="29"/>
    </row>
    <row r="31" spans="1:15" x14ac:dyDescent="0.3">
      <c r="B31" s="29" t="s">
        <v>97</v>
      </c>
      <c r="C31" s="29"/>
      <c r="D31" s="29"/>
      <c r="E31" s="29"/>
      <c r="G31" s="17" t="s">
        <v>0</v>
      </c>
      <c r="H31" s="17" t="s">
        <v>88</v>
      </c>
      <c r="I31" s="17" t="s">
        <v>89</v>
      </c>
      <c r="J31" s="17" t="s">
        <v>90</v>
      </c>
      <c r="K31" s="17" t="s">
        <v>3</v>
      </c>
      <c r="L31" s="17" t="s">
        <v>4</v>
      </c>
      <c r="M31" s="17" t="s">
        <v>87</v>
      </c>
      <c r="N31" s="17" t="s">
        <v>5</v>
      </c>
    </row>
    <row r="32" spans="1:15" x14ac:dyDescent="0.3">
      <c r="G32" s="18" t="s">
        <v>3</v>
      </c>
      <c r="H32" s="21">
        <v>0.90526315789473677</v>
      </c>
      <c r="I32" s="20">
        <v>0.55789473684210544</v>
      </c>
      <c r="J32" s="20">
        <v>0</v>
      </c>
      <c r="K32" s="20">
        <v>1</v>
      </c>
      <c r="L32" s="20">
        <v>0</v>
      </c>
      <c r="M32" s="20">
        <v>-2.736842105263158</v>
      </c>
      <c r="N32" s="20">
        <v>630.52631578947353</v>
      </c>
      <c r="O32">
        <f>N32/H32</f>
        <v>696.51162790697663</v>
      </c>
    </row>
    <row r="33" spans="6:15" x14ac:dyDescent="0.3">
      <c r="G33" s="18" t="s">
        <v>4</v>
      </c>
      <c r="H33" s="20">
        <v>0.45263157894736838</v>
      </c>
      <c r="I33" s="19">
        <v>0.37894736842105259</v>
      </c>
      <c r="J33" s="19">
        <v>0</v>
      </c>
      <c r="K33" s="19">
        <v>0</v>
      </c>
      <c r="L33" s="19">
        <v>1</v>
      </c>
      <c r="M33" s="19">
        <v>-1.368421052631579</v>
      </c>
      <c r="N33" s="19">
        <v>415.26315789473676</v>
      </c>
      <c r="O33">
        <f t="shared" ref="O33:O34" si="9">N33/H33</f>
        <v>917.44186046511618</v>
      </c>
    </row>
    <row r="34" spans="6:15" x14ac:dyDescent="0.3">
      <c r="G34" s="18" t="s">
        <v>87</v>
      </c>
      <c r="H34" s="20">
        <v>0.4210526315789474</v>
      </c>
      <c r="I34" s="19">
        <v>0.63157894736842102</v>
      </c>
      <c r="J34" s="19">
        <v>1</v>
      </c>
      <c r="K34" s="19">
        <v>0</v>
      </c>
      <c r="L34" s="19">
        <v>0</v>
      </c>
      <c r="M34" s="19">
        <v>1.0526315789473684</v>
      </c>
      <c r="N34" s="19">
        <v>642.1052631578948</v>
      </c>
      <c r="O34">
        <f t="shared" si="9"/>
        <v>1525</v>
      </c>
    </row>
    <row r="35" spans="6:15" x14ac:dyDescent="0.3">
      <c r="G35" s="18" t="s">
        <v>7</v>
      </c>
      <c r="H35" s="20">
        <v>-10.94736842105263</v>
      </c>
      <c r="I35" s="19">
        <v>-10.421052631578949</v>
      </c>
      <c r="J35" s="19">
        <v>0</v>
      </c>
      <c r="K35" s="19">
        <v>0</v>
      </c>
      <c r="L35" s="19">
        <v>0</v>
      </c>
      <c r="M35" s="19">
        <v>32.631578947368418</v>
      </c>
      <c r="N35" s="19">
        <v>19905.26315789474</v>
      </c>
    </row>
    <row r="37" spans="6:15" x14ac:dyDescent="0.3">
      <c r="G37" s="17" t="s">
        <v>0</v>
      </c>
      <c r="H37" s="17" t="s">
        <v>88</v>
      </c>
      <c r="I37" s="17" t="s">
        <v>89</v>
      </c>
      <c r="J37" s="17" t="s">
        <v>90</v>
      </c>
      <c r="K37" s="17" t="s">
        <v>3</v>
      </c>
      <c r="L37" s="17" t="s">
        <v>4</v>
      </c>
      <c r="M37" s="17" t="s">
        <v>87</v>
      </c>
      <c r="N37" s="17" t="s">
        <v>5</v>
      </c>
    </row>
    <row r="38" spans="6:15" x14ac:dyDescent="0.3">
      <c r="F38" s="20">
        <v>0.90526315789473677</v>
      </c>
      <c r="G38" s="18" t="s">
        <v>3</v>
      </c>
      <c r="H38" s="19">
        <f>H32/$F$38</f>
        <v>1</v>
      </c>
      <c r="I38" s="19">
        <f t="shared" ref="I38:N38" si="10">I32/$F$38</f>
        <v>0.61627906976744207</v>
      </c>
      <c r="J38" s="19">
        <f t="shared" si="10"/>
        <v>0</v>
      </c>
      <c r="K38" s="19">
        <f t="shared" si="10"/>
        <v>1.1046511627906979</v>
      </c>
      <c r="L38" s="19">
        <f t="shared" si="10"/>
        <v>0</v>
      </c>
      <c r="M38" s="19">
        <f t="shared" si="10"/>
        <v>-3.0232558139534889</v>
      </c>
      <c r="N38" s="19">
        <f t="shared" si="10"/>
        <v>696.51162790697663</v>
      </c>
    </row>
    <row r="39" spans="6:15" x14ac:dyDescent="0.3">
      <c r="F39" s="20">
        <v>0.45263157894736838</v>
      </c>
      <c r="G39" s="18" t="s">
        <v>4</v>
      </c>
      <c r="H39" s="19">
        <f>-$F$39*H38+H33</f>
        <v>0</v>
      </c>
      <c r="I39" s="19">
        <f t="shared" ref="I39:N39" si="11">-$F$39*I38+I33</f>
        <v>9.9999999999999867E-2</v>
      </c>
      <c r="J39" s="19">
        <f t="shared" si="11"/>
        <v>0</v>
      </c>
      <c r="K39" s="19">
        <f t="shared" si="11"/>
        <v>-0.5</v>
      </c>
      <c r="L39" s="19">
        <f t="shared" si="11"/>
        <v>1</v>
      </c>
      <c r="M39" s="19">
        <f t="shared" si="11"/>
        <v>0</v>
      </c>
      <c r="N39" s="19">
        <f t="shared" si="11"/>
        <v>100</v>
      </c>
    </row>
    <row r="40" spans="6:15" x14ac:dyDescent="0.3">
      <c r="F40" s="20">
        <v>0.4210526315789474</v>
      </c>
      <c r="G40" s="18" t="s">
        <v>87</v>
      </c>
      <c r="H40" s="19">
        <f>-$F$40*H38+H34</f>
        <v>0</v>
      </c>
      <c r="I40" s="19">
        <f t="shared" ref="I40:N40" si="12">-$F$40*I38+I34</f>
        <v>0.37209302325581384</v>
      </c>
      <c r="J40" s="19">
        <f t="shared" si="12"/>
        <v>1</v>
      </c>
      <c r="K40" s="19">
        <f t="shared" si="12"/>
        <v>-0.46511627906976755</v>
      </c>
      <c r="L40" s="19">
        <f t="shared" si="12"/>
        <v>0</v>
      </c>
      <c r="M40" s="19">
        <f t="shared" si="12"/>
        <v>2.3255813953488373</v>
      </c>
      <c r="N40" s="19">
        <f t="shared" si="12"/>
        <v>348.83720930232568</v>
      </c>
    </row>
    <row r="41" spans="6:15" x14ac:dyDescent="0.3">
      <c r="F41" s="20">
        <v>-10.94736842105263</v>
      </c>
      <c r="G41" s="18" t="s">
        <v>7</v>
      </c>
      <c r="H41" s="19">
        <f>-$F$41*H38+H35</f>
        <v>0</v>
      </c>
      <c r="I41" s="19">
        <f t="shared" ref="I41:N41" si="13">-$F$41*I38+I35</f>
        <v>-3.6744186046511631</v>
      </c>
      <c r="J41" s="19">
        <f t="shared" si="13"/>
        <v>0</v>
      </c>
      <c r="K41" s="19">
        <f t="shared" si="13"/>
        <v>12.093023255813954</v>
      </c>
      <c r="L41" s="19">
        <f t="shared" si="13"/>
        <v>0</v>
      </c>
      <c r="M41" s="19">
        <f t="shared" si="13"/>
        <v>-0.46511627906976827</v>
      </c>
      <c r="N41" s="19">
        <f t="shared" si="13"/>
        <v>27530.232558139534</v>
      </c>
    </row>
    <row r="43" spans="6:15" x14ac:dyDescent="0.3">
      <c r="G43" s="17" t="s">
        <v>0</v>
      </c>
      <c r="H43" s="17" t="s">
        <v>88</v>
      </c>
      <c r="I43" s="17" t="s">
        <v>89</v>
      </c>
      <c r="J43" s="17" t="s">
        <v>90</v>
      </c>
      <c r="K43" s="17" t="s">
        <v>3</v>
      </c>
      <c r="L43" s="17" t="s">
        <v>4</v>
      </c>
      <c r="M43" s="17" t="s">
        <v>87</v>
      </c>
      <c r="N43" s="17" t="s">
        <v>5</v>
      </c>
    </row>
    <row r="44" spans="6:15" x14ac:dyDescent="0.3">
      <c r="G44" s="18" t="s">
        <v>3</v>
      </c>
      <c r="H44" s="19">
        <v>1</v>
      </c>
      <c r="I44" s="20">
        <v>0.61627906976744207</v>
      </c>
      <c r="J44" s="19">
        <v>0</v>
      </c>
      <c r="K44" s="19">
        <v>1.1046511627906979</v>
      </c>
      <c r="L44" s="19">
        <v>0</v>
      </c>
      <c r="M44" s="19">
        <v>-3.0232558139534889</v>
      </c>
      <c r="N44" s="19">
        <v>696.51162790697663</v>
      </c>
      <c r="O44">
        <f>N44/I44</f>
        <v>1130.1886792452824</v>
      </c>
    </row>
    <row r="45" spans="6:15" x14ac:dyDescent="0.3">
      <c r="G45" s="18" t="s">
        <v>4</v>
      </c>
      <c r="H45" s="19">
        <v>0</v>
      </c>
      <c r="I45" s="20">
        <v>9.9999999999999867E-2</v>
      </c>
      <c r="J45" s="19">
        <v>0</v>
      </c>
      <c r="K45" s="19">
        <v>-0.5</v>
      </c>
      <c r="L45" s="19">
        <v>1</v>
      </c>
      <c r="M45" s="19">
        <v>0</v>
      </c>
      <c r="N45" s="19">
        <v>100</v>
      </c>
      <c r="O45">
        <f t="shared" ref="O45:O46" si="14">N45/I45</f>
        <v>1000.0000000000014</v>
      </c>
    </row>
    <row r="46" spans="6:15" x14ac:dyDescent="0.3">
      <c r="G46" s="18" t="s">
        <v>87</v>
      </c>
      <c r="H46" s="20">
        <v>0</v>
      </c>
      <c r="I46" s="21">
        <v>0.37209302325581384</v>
      </c>
      <c r="J46" s="20">
        <v>1</v>
      </c>
      <c r="K46" s="20">
        <v>-0.46511627906976755</v>
      </c>
      <c r="L46" s="20">
        <v>0</v>
      </c>
      <c r="M46" s="20">
        <v>2.3255813953488373</v>
      </c>
      <c r="N46" s="20">
        <v>348.83720930232568</v>
      </c>
      <c r="O46">
        <f t="shared" si="14"/>
        <v>937.50000000000057</v>
      </c>
    </row>
    <row r="47" spans="6:15" x14ac:dyDescent="0.3">
      <c r="G47" s="18" t="s">
        <v>7</v>
      </c>
      <c r="H47" s="19">
        <v>0</v>
      </c>
      <c r="I47" s="20">
        <v>-3.6744186046511631</v>
      </c>
      <c r="J47" s="19">
        <v>0</v>
      </c>
      <c r="K47" s="19">
        <v>12.093023255813954</v>
      </c>
      <c r="L47" s="19">
        <v>0</v>
      </c>
      <c r="M47" s="19">
        <v>-0.46511627906976827</v>
      </c>
      <c r="N47" s="19">
        <v>27530.232558139534</v>
      </c>
    </row>
    <row r="49" spans="6:15" x14ac:dyDescent="0.3">
      <c r="G49" s="17" t="s">
        <v>0</v>
      </c>
      <c r="H49" s="17" t="s">
        <v>88</v>
      </c>
      <c r="I49" s="17" t="s">
        <v>89</v>
      </c>
      <c r="J49" s="17" t="s">
        <v>90</v>
      </c>
      <c r="K49" s="17" t="s">
        <v>3</v>
      </c>
      <c r="L49" s="17" t="s">
        <v>4</v>
      </c>
      <c r="M49" s="17" t="s">
        <v>87</v>
      </c>
      <c r="N49" s="17" t="s">
        <v>5</v>
      </c>
    </row>
    <row r="50" spans="6:15" x14ac:dyDescent="0.3">
      <c r="F50" s="20">
        <v>0.61627906976744207</v>
      </c>
      <c r="G50" s="18" t="s">
        <v>3</v>
      </c>
      <c r="H50" s="19">
        <f>-$F$50*H52+H44</f>
        <v>1</v>
      </c>
      <c r="I50" s="19">
        <f>-$F$50*I52+I44</f>
        <v>0</v>
      </c>
      <c r="J50" s="19">
        <f t="shared" ref="J50:N50" si="15">-$F$50*J52+J44</f>
        <v>-1.6562500000000011</v>
      </c>
      <c r="K50" s="19">
        <f t="shared" si="15"/>
        <v>1.8750000000000009</v>
      </c>
      <c r="L50" s="19">
        <f t="shared" si="15"/>
        <v>0</v>
      </c>
      <c r="M50" s="19">
        <f t="shared" si="15"/>
        <v>-6.8750000000000036</v>
      </c>
      <c r="N50" s="19">
        <f t="shared" si="15"/>
        <v>118.74999999999932</v>
      </c>
      <c r="O50">
        <v>118.74999999999932</v>
      </c>
    </row>
    <row r="51" spans="6:15" x14ac:dyDescent="0.3">
      <c r="F51" s="20">
        <v>9.9999999999999867E-2</v>
      </c>
      <c r="G51" s="18" t="s">
        <v>4</v>
      </c>
      <c r="H51" s="19">
        <f>-$F$51*H52+H45</f>
        <v>0</v>
      </c>
      <c r="I51" s="19">
        <f>-$F$51*I52+I45</f>
        <v>0</v>
      </c>
      <c r="J51" s="19">
        <f t="shared" ref="J51:N51" si="16">-$F$51*J52+J45</f>
        <v>-0.26874999999999971</v>
      </c>
      <c r="K51" s="19">
        <f t="shared" si="16"/>
        <v>-0.37500000000000011</v>
      </c>
      <c r="L51" s="19">
        <f t="shared" si="16"/>
        <v>1</v>
      </c>
      <c r="M51" s="19">
        <f t="shared" si="16"/>
        <v>-0.62499999999999944</v>
      </c>
      <c r="N51" s="19">
        <f t="shared" si="16"/>
        <v>6.2500000000000711</v>
      </c>
      <c r="O51">
        <v>6.2500000000000711</v>
      </c>
    </row>
    <row r="52" spans="6:15" x14ac:dyDescent="0.3">
      <c r="F52" s="20">
        <v>0.37209302325581384</v>
      </c>
      <c r="G52" s="18" t="s">
        <v>87</v>
      </c>
      <c r="H52" s="19">
        <f>H46/$F$52</f>
        <v>0</v>
      </c>
      <c r="I52" s="19">
        <f>I46/$F$52</f>
        <v>1</v>
      </c>
      <c r="J52" s="19">
        <f t="shared" ref="J52:N52" si="17">J46/$F$52</f>
        <v>2.6875000000000009</v>
      </c>
      <c r="K52" s="19">
        <f t="shared" si="17"/>
        <v>-1.2500000000000007</v>
      </c>
      <c r="L52" s="19">
        <f t="shared" si="17"/>
        <v>0</v>
      </c>
      <c r="M52" s="19">
        <f t="shared" si="17"/>
        <v>6.2500000000000027</v>
      </c>
      <c r="N52" s="19">
        <f t="shared" si="17"/>
        <v>937.50000000000057</v>
      </c>
      <c r="O52">
        <v>937.50000000000057</v>
      </c>
    </row>
    <row r="53" spans="6:15" x14ac:dyDescent="0.3">
      <c r="F53" s="20">
        <v>-3.6744186046511631</v>
      </c>
      <c r="G53" s="18" t="s">
        <v>7</v>
      </c>
      <c r="H53" s="19">
        <f>-$F$53*H52+H47</f>
        <v>0</v>
      </c>
      <c r="I53" s="19">
        <f>-$F$53*I52+I47</f>
        <v>0</v>
      </c>
      <c r="J53" s="19">
        <f t="shared" ref="J53:N53" si="18">-$F$53*J52+J47</f>
        <v>9.8750000000000036</v>
      </c>
      <c r="K53" s="19">
        <f t="shared" si="18"/>
        <v>7.4999999999999973</v>
      </c>
      <c r="L53" s="19">
        <f t="shared" si="18"/>
        <v>0</v>
      </c>
      <c r="M53" s="19">
        <f t="shared" si="18"/>
        <v>22.500000000000011</v>
      </c>
      <c r="N53" s="19">
        <f t="shared" si="18"/>
        <v>30975</v>
      </c>
      <c r="O53">
        <v>30975</v>
      </c>
    </row>
    <row r="55" spans="6:15" x14ac:dyDescent="0.3">
      <c r="F55" t="s">
        <v>8</v>
      </c>
      <c r="G55" t="s">
        <v>108</v>
      </c>
      <c r="H55" t="s">
        <v>109</v>
      </c>
      <c r="I55" t="s">
        <v>110</v>
      </c>
      <c r="J55" t="s">
        <v>111</v>
      </c>
    </row>
    <row r="56" spans="6:15" x14ac:dyDescent="0.3">
      <c r="F56" t="s">
        <v>12</v>
      </c>
      <c r="G56" t="s">
        <v>112</v>
      </c>
      <c r="H56" t="s">
        <v>113</v>
      </c>
      <c r="I56" t="s">
        <v>114</v>
      </c>
      <c r="J56" t="s">
        <v>111</v>
      </c>
    </row>
  </sheetData>
  <mergeCells count="14">
    <mergeCell ref="B23:E23"/>
    <mergeCell ref="A1:V1"/>
    <mergeCell ref="B19:E19"/>
    <mergeCell ref="B20:E20"/>
    <mergeCell ref="B21:E21"/>
    <mergeCell ref="B22:E22"/>
    <mergeCell ref="B30:E30"/>
    <mergeCell ref="B31:E31"/>
    <mergeCell ref="B24:E24"/>
    <mergeCell ref="B25:E25"/>
    <mergeCell ref="B26:E26"/>
    <mergeCell ref="B27:E27"/>
    <mergeCell ref="B28:E28"/>
    <mergeCell ref="B29:E29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4B98-40A2-4DE3-BFC9-E1CF9534D87C}">
  <dimension ref="A1:M22"/>
  <sheetViews>
    <sheetView showGridLines="0" tabSelected="1" zoomScaleNormal="100" workbookViewId="0">
      <selection activeCell="A11" sqref="A11"/>
    </sheetView>
  </sheetViews>
  <sheetFormatPr defaultRowHeight="14.4" x14ac:dyDescent="0.3"/>
  <cols>
    <col min="1" max="1" width="24.109375" bestFit="1" customWidth="1"/>
    <col min="2" max="2" width="3.77734375" customWidth="1"/>
    <col min="4" max="4" width="9" bestFit="1" customWidth="1"/>
    <col min="5" max="10" width="10.77734375" customWidth="1"/>
    <col min="12" max="12" width="3.77734375" customWidth="1"/>
    <col min="13" max="13" width="31" bestFit="1" customWidth="1"/>
    <col min="14" max="14" width="3.77734375" customWidth="1"/>
    <col min="16" max="16" width="13.21875" bestFit="1" customWidth="1"/>
    <col min="17" max="17" width="13.33203125" bestFit="1" customWidth="1"/>
    <col min="18" max="18" width="10.33203125" bestFit="1" customWidth="1"/>
  </cols>
  <sheetData>
    <row r="1" spans="1:13" ht="15" x14ac:dyDescent="0.3">
      <c r="A1" s="28" t="s">
        <v>120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3" spans="1:13" ht="15.6" x14ac:dyDescent="0.3">
      <c r="A3" s="11" t="s">
        <v>126</v>
      </c>
      <c r="D3" s="4" t="s">
        <v>0</v>
      </c>
      <c r="E3" s="31" t="s">
        <v>1</v>
      </c>
      <c r="F3" s="31" t="s">
        <v>2</v>
      </c>
      <c r="G3" s="31" t="s">
        <v>3</v>
      </c>
      <c r="H3" s="31" t="s">
        <v>4</v>
      </c>
      <c r="I3" s="31" t="s">
        <v>87</v>
      </c>
      <c r="J3" s="31" t="s">
        <v>5</v>
      </c>
      <c r="M3" s="11"/>
    </row>
    <row r="4" spans="1:13" ht="15.6" x14ac:dyDescent="0.3">
      <c r="A4" s="11" t="s">
        <v>123</v>
      </c>
      <c r="D4" s="4" t="s">
        <v>3</v>
      </c>
      <c r="E4" s="33">
        <v>1</v>
      </c>
      <c r="F4" s="34">
        <v>1</v>
      </c>
      <c r="G4" s="33">
        <v>1</v>
      </c>
      <c r="H4" s="33">
        <v>0</v>
      </c>
      <c r="I4" s="33">
        <v>0</v>
      </c>
      <c r="J4" s="33">
        <v>6</v>
      </c>
      <c r="K4">
        <f>J4/F4</f>
        <v>6</v>
      </c>
      <c r="M4" s="11"/>
    </row>
    <row r="5" spans="1:13" ht="15.6" x14ac:dyDescent="0.3">
      <c r="A5" s="11" t="s">
        <v>124</v>
      </c>
      <c r="D5" s="4" t="s">
        <v>4</v>
      </c>
      <c r="E5" s="33">
        <v>5</v>
      </c>
      <c r="F5" s="34">
        <v>9</v>
      </c>
      <c r="G5" s="33">
        <v>0</v>
      </c>
      <c r="H5" s="33">
        <v>1</v>
      </c>
      <c r="I5" s="33">
        <v>0</v>
      </c>
      <c r="J5" s="33">
        <v>45</v>
      </c>
      <c r="K5">
        <f>J5/F5</f>
        <v>5</v>
      </c>
      <c r="M5" s="11"/>
    </row>
    <row r="6" spans="1:13" ht="15.6" x14ac:dyDescent="0.3">
      <c r="A6" s="11" t="s">
        <v>121</v>
      </c>
      <c r="D6" s="4" t="s">
        <v>87</v>
      </c>
      <c r="E6" s="34">
        <v>0</v>
      </c>
      <c r="F6" s="34">
        <v>1</v>
      </c>
      <c r="G6" s="34">
        <v>0</v>
      </c>
      <c r="H6" s="34">
        <v>0</v>
      </c>
      <c r="I6" s="34">
        <v>1</v>
      </c>
      <c r="J6" s="34">
        <v>3</v>
      </c>
      <c r="K6">
        <f>J6/F6</f>
        <v>3</v>
      </c>
      <c r="M6" s="15"/>
    </row>
    <row r="7" spans="1:13" ht="15.6" x14ac:dyDescent="0.3">
      <c r="A7" s="15" t="s">
        <v>122</v>
      </c>
      <c r="D7" s="4" t="s">
        <v>7</v>
      </c>
      <c r="E7" s="33">
        <v>-5</v>
      </c>
      <c r="F7" s="34">
        <v>-8</v>
      </c>
      <c r="G7" s="33">
        <v>0</v>
      </c>
      <c r="H7" s="33">
        <v>0</v>
      </c>
      <c r="I7" s="33">
        <v>0</v>
      </c>
      <c r="J7" s="33">
        <v>0</v>
      </c>
    </row>
    <row r="8" spans="1:13" ht="15.6" x14ac:dyDescent="0.3">
      <c r="E8" s="32"/>
      <c r="F8" s="32"/>
      <c r="G8" s="32"/>
      <c r="H8" s="32"/>
      <c r="I8" s="32"/>
      <c r="J8" s="32"/>
      <c r="M8" s="11"/>
    </row>
    <row r="9" spans="1:13" ht="15.6" x14ac:dyDescent="0.3">
      <c r="A9" s="11"/>
      <c r="D9" s="4" t="s">
        <v>0</v>
      </c>
      <c r="E9" s="31" t="s">
        <v>1</v>
      </c>
      <c r="F9" s="31" t="s">
        <v>2</v>
      </c>
      <c r="G9" s="31" t="s">
        <v>3</v>
      </c>
      <c r="H9" s="31" t="s">
        <v>4</v>
      </c>
      <c r="I9" s="31" t="s">
        <v>87</v>
      </c>
      <c r="J9" s="31" t="s">
        <v>5</v>
      </c>
      <c r="M9" s="11"/>
    </row>
    <row r="10" spans="1:13" ht="15.6" x14ac:dyDescent="0.3">
      <c r="A10" s="11"/>
      <c r="C10" s="34">
        <v>1</v>
      </c>
      <c r="D10" s="4" t="s">
        <v>3</v>
      </c>
      <c r="E10" s="34">
        <v>1</v>
      </c>
      <c r="F10" s="34">
        <v>0</v>
      </c>
      <c r="G10" s="34">
        <v>1</v>
      </c>
      <c r="H10" s="34">
        <v>0</v>
      </c>
      <c r="I10" s="34">
        <v>-1</v>
      </c>
      <c r="J10" s="34">
        <v>3</v>
      </c>
      <c r="K10" s="36">
        <f>J10/E10</f>
        <v>3</v>
      </c>
      <c r="M10" s="11"/>
    </row>
    <row r="11" spans="1:13" ht="15.6" x14ac:dyDescent="0.3">
      <c r="A11" s="11"/>
      <c r="C11" s="34">
        <v>5</v>
      </c>
      <c r="D11" s="4" t="s">
        <v>4</v>
      </c>
      <c r="E11" s="34">
        <v>5</v>
      </c>
      <c r="F11" s="33">
        <v>0</v>
      </c>
      <c r="G11" s="33">
        <v>0</v>
      </c>
      <c r="H11" s="33">
        <v>1</v>
      </c>
      <c r="I11" s="33">
        <v>-9</v>
      </c>
      <c r="J11" s="33">
        <v>18</v>
      </c>
      <c r="K11" s="36">
        <f t="shared" ref="K11:K12" si="0">J11/E11</f>
        <v>3.6</v>
      </c>
      <c r="M11" s="11"/>
    </row>
    <row r="12" spans="1:13" ht="15.6" x14ac:dyDescent="0.3">
      <c r="A12" s="11"/>
      <c r="C12" s="34">
        <v>0</v>
      </c>
      <c r="D12" s="4" t="s">
        <v>2</v>
      </c>
      <c r="E12" s="34">
        <v>0</v>
      </c>
      <c r="F12" s="33">
        <v>1</v>
      </c>
      <c r="G12" s="33">
        <v>0</v>
      </c>
      <c r="H12" s="33">
        <v>0</v>
      </c>
      <c r="I12" s="33">
        <v>1</v>
      </c>
      <c r="J12" s="33">
        <v>3</v>
      </c>
      <c r="K12" s="36"/>
    </row>
    <row r="13" spans="1:13" ht="15.6" x14ac:dyDescent="0.3">
      <c r="A13" s="11"/>
      <c r="C13" s="34">
        <v>-5</v>
      </c>
      <c r="D13" s="4" t="s">
        <v>7</v>
      </c>
      <c r="E13" s="34">
        <v>-5</v>
      </c>
      <c r="F13" s="33">
        <v>0</v>
      </c>
      <c r="G13" s="33">
        <v>0</v>
      </c>
      <c r="H13" s="33">
        <v>0</v>
      </c>
      <c r="I13" s="33">
        <v>8</v>
      </c>
      <c r="J13" s="33">
        <v>24</v>
      </c>
    </row>
    <row r="14" spans="1:13" x14ac:dyDescent="0.3">
      <c r="C14" s="10"/>
      <c r="E14" s="32"/>
      <c r="F14" s="32"/>
      <c r="G14" s="32"/>
      <c r="H14" s="32"/>
      <c r="I14" s="32"/>
      <c r="J14" s="32"/>
    </row>
    <row r="15" spans="1:13" x14ac:dyDescent="0.3">
      <c r="C15" s="10"/>
      <c r="D15" s="4" t="s">
        <v>0</v>
      </c>
      <c r="E15" s="31" t="s">
        <v>1</v>
      </c>
      <c r="F15" s="31" t="s">
        <v>2</v>
      </c>
      <c r="G15" s="31" t="s">
        <v>3</v>
      </c>
      <c r="H15" s="31" t="s">
        <v>4</v>
      </c>
      <c r="I15" s="31" t="s">
        <v>87</v>
      </c>
      <c r="J15" s="31" t="s">
        <v>5</v>
      </c>
    </row>
    <row r="16" spans="1:13" x14ac:dyDescent="0.3">
      <c r="C16" s="10"/>
      <c r="D16" s="4" t="s">
        <v>1</v>
      </c>
      <c r="E16" s="33">
        <v>1</v>
      </c>
      <c r="F16" s="33">
        <v>0</v>
      </c>
      <c r="G16" s="33">
        <v>1</v>
      </c>
      <c r="H16" s="33">
        <v>0</v>
      </c>
      <c r="I16" s="33">
        <v>-1</v>
      </c>
      <c r="J16" s="33">
        <v>3</v>
      </c>
    </row>
    <row r="17" spans="3:10" x14ac:dyDescent="0.3">
      <c r="C17" s="10"/>
      <c r="D17" s="4" t="s">
        <v>4</v>
      </c>
      <c r="E17" s="33">
        <v>0</v>
      </c>
      <c r="F17" s="33">
        <v>0</v>
      </c>
      <c r="G17" s="33">
        <v>-5</v>
      </c>
      <c r="H17" s="33">
        <v>1</v>
      </c>
      <c r="I17" s="33">
        <v>-4</v>
      </c>
      <c r="J17" s="33">
        <v>3</v>
      </c>
    </row>
    <row r="18" spans="3:10" x14ac:dyDescent="0.3">
      <c r="C18" s="10"/>
      <c r="D18" s="4" t="s">
        <v>2</v>
      </c>
      <c r="E18" s="33">
        <v>0</v>
      </c>
      <c r="F18" s="33">
        <v>1</v>
      </c>
      <c r="G18" s="33">
        <v>0</v>
      </c>
      <c r="H18" s="33">
        <v>0</v>
      </c>
      <c r="I18" s="33">
        <v>1</v>
      </c>
      <c r="J18" s="33">
        <v>3</v>
      </c>
    </row>
    <row r="19" spans="3:10" x14ac:dyDescent="0.3">
      <c r="C19" s="10"/>
      <c r="D19" s="4" t="s">
        <v>7</v>
      </c>
      <c r="E19" s="33">
        <v>0</v>
      </c>
      <c r="F19" s="33">
        <v>0</v>
      </c>
      <c r="G19" s="33">
        <v>5</v>
      </c>
      <c r="H19" s="33">
        <v>0</v>
      </c>
      <c r="I19" s="33">
        <v>3</v>
      </c>
      <c r="J19" s="33">
        <v>39</v>
      </c>
    </row>
    <row r="21" spans="3:10" ht="18" x14ac:dyDescent="0.35">
      <c r="C21" s="35" t="s">
        <v>8</v>
      </c>
      <c r="D21" s="37" t="s">
        <v>127</v>
      </c>
      <c r="E21" s="37" t="s">
        <v>125</v>
      </c>
      <c r="F21" s="37" t="s">
        <v>128</v>
      </c>
      <c r="G21" s="16"/>
    </row>
    <row r="22" spans="3:10" ht="18" x14ac:dyDescent="0.35">
      <c r="C22" s="35" t="s">
        <v>12</v>
      </c>
      <c r="D22" s="37" t="s">
        <v>129</v>
      </c>
      <c r="E22" s="37" t="s">
        <v>130</v>
      </c>
      <c r="F22" s="37" t="s">
        <v>131</v>
      </c>
      <c r="G22" s="37" t="s">
        <v>128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Exemplo 1</vt:lpstr>
      <vt:lpstr>Exemplo 2</vt:lpstr>
      <vt:lpstr>EXERCICIO 1</vt:lpstr>
      <vt:lpstr>EXERCICIO 2</vt:lpstr>
      <vt:lpstr>EXERCICIO 3B</vt:lpstr>
      <vt:lpstr>LA EXER 4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2025-11-03T22:47:24Z</dcterms:created>
  <dcterms:modified xsi:type="dcterms:W3CDTF">2025-11-11T00:35:01Z</dcterms:modified>
</cp:coreProperties>
</file>